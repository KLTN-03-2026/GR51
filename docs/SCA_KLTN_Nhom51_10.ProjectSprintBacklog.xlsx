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IN-KLTN\"/>
    </mc:Choice>
  </mc:AlternateContent>
  <xr:revisionPtr revIDLastSave="0" documentId="13_ncr:1_{6C3E2221-991C-4074-9A55-419C83DC7303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print 1" sheetId="1" r:id="rId1"/>
    <sheet name="Sprint 2" sheetId="2" r:id="rId2"/>
    <sheet name="Sprint 3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9" i="3"/>
  <c r="D9" i="3"/>
  <c r="E8" i="3"/>
  <c r="D8" i="3"/>
  <c r="E7" i="3"/>
  <c r="D7" i="3"/>
  <c r="E6" i="3"/>
  <c r="D6" i="3"/>
  <c r="D6" i="2"/>
  <c r="D10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E10" i="2"/>
  <c r="E8" i="2"/>
  <c r="D10" i="2"/>
  <c r="D8" i="2"/>
  <c r="E7" i="2"/>
  <c r="E9" i="2"/>
  <c r="D9" i="2"/>
  <c r="D7" i="2"/>
  <c r="E12" i="1"/>
  <c r="D12" i="1"/>
  <c r="D11" i="1"/>
  <c r="E10" i="1"/>
  <c r="D10" i="1"/>
  <c r="D9" i="1"/>
  <c r="D4" i="4" s="1"/>
  <c r="E6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R108" i="2"/>
  <c r="O108" i="2"/>
  <c r="W109" i="2"/>
  <c r="V108" i="2"/>
  <c r="S108" i="2"/>
  <c r="K108" i="2"/>
  <c r="J109" i="2"/>
  <c r="E11" i="1"/>
  <c r="E9" i="1"/>
  <c r="D8" i="1"/>
  <c r="B4" i="4" s="1"/>
  <c r="E8" i="1"/>
  <c r="G73" i="1"/>
  <c r="G72" i="1"/>
  <c r="Y73" i="1"/>
  <c r="Y72" i="1"/>
  <c r="X73" i="1"/>
  <c r="V73" i="1"/>
  <c r="S73" i="1"/>
  <c r="R72" i="1"/>
  <c r="R73" i="1"/>
  <c r="Q73" i="1"/>
  <c r="P73" i="1"/>
  <c r="O72" i="1"/>
  <c r="O73" i="1"/>
  <c r="N73" i="1"/>
  <c r="M73" i="1"/>
  <c r="M72" i="1"/>
  <c r="L73" i="1"/>
  <c r="J73" i="1"/>
  <c r="I73" i="1"/>
  <c r="X72" i="1"/>
  <c r="W72" i="1"/>
  <c r="W73" i="1"/>
  <c r="V72" i="1"/>
  <c r="U73" i="1"/>
  <c r="U72" i="1"/>
  <c r="T73" i="1"/>
  <c r="T72" i="1"/>
  <c r="Q72" i="1"/>
  <c r="L72" i="1"/>
  <c r="K73" i="1"/>
  <c r="K72" i="1"/>
  <c r="J72" i="1"/>
  <c r="I72" i="1"/>
  <c r="X108" i="2"/>
  <c r="X109" i="2"/>
  <c r="M114" i="3"/>
  <c r="G114" i="3" l="1"/>
  <c r="I114" i="3"/>
  <c r="J114" i="3"/>
  <c r="K114" i="3"/>
  <c r="L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G115" i="3"/>
  <c r="I115" i="3"/>
  <c r="P72" i="1" l="1"/>
  <c r="N72" i="1"/>
  <c r="C4" i="4" l="1"/>
  <c r="S72" i="1" l="1"/>
  <c r="U108" i="2"/>
  <c r="Q108" i="2"/>
  <c r="N108" i="2"/>
  <c r="J108" i="2"/>
  <c r="L108" i="2"/>
  <c r="M108" i="2"/>
  <c r="P108" i="2"/>
  <c r="T108" i="2"/>
  <c r="W108" i="2"/>
  <c r="I109" i="2"/>
  <c r="I108" i="2"/>
  <c r="G109" i="2"/>
  <c r="G108" i="2"/>
  <c r="G6" i="4" l="1"/>
  <c r="K6" i="4"/>
  <c r="I6" i="4"/>
  <c r="E6" i="4"/>
  <c r="C6" i="4"/>
  <c r="J6" i="4"/>
  <c r="J4" i="4"/>
  <c r="H6" i="4"/>
  <c r="H4" i="4"/>
  <c r="F6" i="4"/>
  <c r="F5" i="4"/>
  <c r="D6" i="4"/>
  <c r="D5" i="4"/>
  <c r="B6" i="4"/>
  <c r="B5" i="4"/>
  <c r="K5" i="4"/>
  <c r="I5" i="4"/>
  <c r="K4" i="4"/>
  <c r="I4" i="4"/>
  <c r="G5" i="4"/>
  <c r="G4" i="4"/>
  <c r="E5" i="4"/>
  <c r="E4" i="4"/>
  <c r="C5" i="4"/>
  <c r="J5" i="4"/>
  <c r="H5" i="4"/>
  <c r="F4" i="4"/>
  <c r="F7" i="4" l="1"/>
  <c r="D7" i="4"/>
  <c r="K7" i="4"/>
  <c r="B7" i="4"/>
  <c r="C7" i="4"/>
  <c r="G7" i="4"/>
  <c r="J7" i="4"/>
  <c r="E7" i="4"/>
  <c r="I7" i="4"/>
  <c r="H7" i="4"/>
  <c r="E11" i="3"/>
  <c r="D11" i="3"/>
  <c r="E11" i="2"/>
  <c r="D11" i="2"/>
  <c r="E13" i="1"/>
  <c r="D13" i="1"/>
  <c r="F11" i="4" l="1"/>
  <c r="F12" i="4"/>
</calcChain>
</file>

<file path=xl/sharedStrings.xml><?xml version="1.0" encoding="utf-8"?>
<sst xmlns="http://schemas.openxmlformats.org/spreadsheetml/2006/main" count="502" uniqueCount="230">
  <si>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</si>
  <si>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</si>
  <si>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</si>
  <si>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</si>
  <si>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</si>
  <si>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</si>
  <si>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</si>
  <si>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</si>
  <si>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</si>
  <si>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</si>
  <si>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</si>
  <si>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</si>
  <si>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</si>
  <si>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</si>
  <si>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</si>
  <si>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</si>
  <si>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User interface design</t>
  </si>
  <si>
    <t>Thiết kế trường kiểm thử cho đăng nhập</t>
  </si>
  <si>
    <t>Review all test case of sprint 1</t>
  </si>
  <si>
    <t>Review all user interfaces of sprint 1</t>
  </si>
  <si>
    <t>Design test case</t>
  </si>
  <si>
    <t>Code back-end cho đăng nhập</t>
  </si>
  <si>
    <t xml:space="preserve">Integrate code </t>
  </si>
  <si>
    <t>Coding</t>
  </si>
  <si>
    <t>Kiểm tra đăng nhập</t>
  </si>
  <si>
    <t>Testing</t>
  </si>
  <si>
    <t>Sửa lỗi đăng nhập</t>
  </si>
  <si>
    <t>Fix Bug</t>
  </si>
  <si>
    <t>Sprint 1 review meeting</t>
  </si>
  <si>
    <t>Sprint 1 retrospective</t>
  </si>
  <si>
    <t>Release Sprint 1</t>
  </si>
  <si>
    <t>Sprint 2</t>
  </si>
  <si>
    <t>Sprint 3</t>
  </si>
  <si>
    <t>SPRINT 3 REPORT</t>
  </si>
  <si>
    <t>SPRINT 2 REPORT</t>
  </si>
  <si>
    <t>Release Sprint 2</t>
  </si>
  <si>
    <t>Re-testing</t>
  </si>
  <si>
    <t>Kiểm tra lại đăng nhập</t>
  </si>
  <si>
    <t>Sprint 2 review meeting</t>
  </si>
  <si>
    <t>Sprint 2 retrospective</t>
  </si>
  <si>
    <t>Tạo Sprint Backlog 2</t>
  </si>
  <si>
    <t>Tạo Sprint Backlog 3</t>
  </si>
  <si>
    <t>Review all user interfaces of sprint 3</t>
  </si>
  <si>
    <t>Review all user interfaces of sprint 2</t>
  </si>
  <si>
    <t>Review all test case of sprint 2</t>
  </si>
  <si>
    <t>Sprint 3 review meeting</t>
  </si>
  <si>
    <t>Sprint 3 retrospective</t>
  </si>
  <si>
    <t>All team</t>
  </si>
  <si>
    <t>Ước tính</t>
  </si>
  <si>
    <t>Thành viên</t>
  </si>
  <si>
    <t>SPRINT BACKLOG REPORT</t>
  </si>
  <si>
    <t>FINAL TOTAL</t>
  </si>
  <si>
    <t>Trước thời hạn</t>
  </si>
  <si>
    <t>Muộn</t>
  </si>
  <si>
    <t>Kết thúc</t>
  </si>
  <si>
    <t>Kết thúc đúng hạn</t>
  </si>
  <si>
    <t>Code back-end cho đăng xuất</t>
  </si>
  <si>
    <t>Kiểm tra đăng xuất</t>
  </si>
  <si>
    <t>Sửa lỗi đăng xuất</t>
  </si>
  <si>
    <t>Kiểm tra lại đăng xuất</t>
  </si>
  <si>
    <t>Code back-end cho tạo đơn hàng và xử lý thanh toán</t>
  </si>
  <si>
    <t>Code back-end cho xem danh sách, cập nhật trạng thái các đơn pha chế</t>
  </si>
  <si>
    <t>Code back-end cho xem lịch sử các đơn hàng</t>
  </si>
  <si>
    <t>Code back-end cho xem tồn kho</t>
  </si>
  <si>
    <t>Kiểm tra tạo đơn hàng và xử lý thanh toán</t>
  </si>
  <si>
    <t>Kiểm tra xem danh sách, cập nhật trạng thái các đơn pha chế</t>
  </si>
  <si>
    <t>Kiểm tra xem lịch sử các đơn hàng</t>
  </si>
  <si>
    <t>Kiểm tra xem tồn kho</t>
  </si>
  <si>
    <t>Sửa lỗi tạo đơn hàng và xử lý thanh toán</t>
  </si>
  <si>
    <t>Sửa lỗi xem danh sách, cập nhật trạng thái các đơn pha chế</t>
  </si>
  <si>
    <t>Sửa lỗi xem lịch sử các đơn hàng</t>
  </si>
  <si>
    <t>Sửa lỗi xem tồn kho</t>
  </si>
  <si>
    <t>Kiểm tra lại tạo đơn hàng và xử lý thanh toán</t>
  </si>
  <si>
    <t>Kiểm tra lại  xem danh sách, cập nhật trạng thái các đơn pha chế</t>
  </si>
  <si>
    <t>Kiểm tra lại xem lịch sử các đơn hàng</t>
  </si>
  <si>
    <t>Kiểm tra lại xem tồn kho</t>
  </si>
  <si>
    <t>Code back-end cho mở ca làm</t>
  </si>
  <si>
    <t>Code back-end cho  kết ca làm</t>
  </si>
  <si>
    <t>Kiểm tra mở ca làm</t>
  </si>
  <si>
    <t>Kiểm tra kết ca làm</t>
  </si>
  <si>
    <t>Sửa lỗi  mở ca làm</t>
  </si>
  <si>
    <t>Sửa lỗi  kết ca làm</t>
  </si>
  <si>
    <t>Kiểm tra lại mở ca làm</t>
  </si>
  <si>
    <t>Kiểm tra lại  kết ca làm</t>
  </si>
  <si>
    <t>Giao diện xem thực đơn và đặt món</t>
  </si>
  <si>
    <t>Quân</t>
  </si>
  <si>
    <t>Giao diện quản lý giỏ hàng</t>
  </si>
  <si>
    <t xml:space="preserve">Giao diện thanh toán </t>
  </si>
  <si>
    <t>Giao diện theo dõi trạng  thái đơn hàng</t>
  </si>
  <si>
    <t>Giao diện đánh giá</t>
  </si>
  <si>
    <t>Thiết kế trường kiểm thử cho xem thực đơn và đặt món</t>
  </si>
  <si>
    <t>Thiết kế trường kiểm thử cho quản lý giỏ hàng</t>
  </si>
  <si>
    <t xml:space="preserve">Thiết kế trường kiểm thử cho thanh toán </t>
  </si>
  <si>
    <t>Thiết kế trường kiểm thử cho theo dõi trạng thái đơn hàng</t>
  </si>
  <si>
    <t xml:space="preserve">Thiết kế trường kiểm thử cho đánh giá </t>
  </si>
  <si>
    <t xml:space="preserve">Code back-end cho xem thực đơn và đặt món </t>
  </si>
  <si>
    <t>Code back-end cho quản lý giỏ hàng</t>
  </si>
  <si>
    <t>Code back-end cho thanh toán</t>
  </si>
  <si>
    <t xml:space="preserve">Code back-end cho  theo dõi trạng thái đơn hàng </t>
  </si>
  <si>
    <t>Thiết kê front-end cho đánh giá</t>
  </si>
  <si>
    <t>Code back-end cho đánh giá</t>
  </si>
  <si>
    <t>Kiểm tra xem thực đơn và đặt món</t>
  </si>
  <si>
    <t xml:space="preserve">Kiểm tra quản lý giỏ hàng </t>
  </si>
  <si>
    <t xml:space="preserve">Kiểm tra thanh toán </t>
  </si>
  <si>
    <t>Kiểm tra theo dõi trạng thái đơn hàng</t>
  </si>
  <si>
    <t>Kiểm tra đánh giá</t>
  </si>
  <si>
    <t>Sửa lỗi xem thực đơn và đặt món</t>
  </si>
  <si>
    <t>Sửa lỗi quản lý giỏ hàng</t>
  </si>
  <si>
    <t xml:space="preserve">Sửa lỗi thanh toán </t>
  </si>
  <si>
    <t>Sửa lỗi theo dõi trạng thái đơn hàng</t>
  </si>
  <si>
    <t xml:space="preserve">Sửa lỗi đánh giá </t>
  </si>
  <si>
    <t>Kiểm tra lại xem thực đơn và đặt món</t>
  </si>
  <si>
    <t>Kiểm tra lại quản lý giỏ hàng</t>
  </si>
  <si>
    <t xml:space="preserve">Kiểm tra lại thanh toán </t>
  </si>
  <si>
    <t xml:space="preserve">Kiểm tra lại theo dõi trạng thái đơn hàng </t>
  </si>
  <si>
    <t xml:space="preserve">Kiểm tra lại đánh giá </t>
  </si>
  <si>
    <t>Nguyễn Trần Đăng Trường</t>
  </si>
  <si>
    <t>Đặng Thị Ngọc Ánh</t>
  </si>
  <si>
    <t>Nguyễn Thanh Bình</t>
  </si>
  <si>
    <t>Bùi Thị Thu Hà</t>
  </si>
  <si>
    <t>Hoàng Minh Quân</t>
  </si>
  <si>
    <t>Nghiên cứu và phát triển nền tảng số hóa quy trình phục vụ và thanh toán trong quản lý tích hợp Ai hỗ trợ người quản lý</t>
  </si>
  <si>
    <t>Ánh</t>
  </si>
  <si>
    <t>Hà</t>
  </si>
  <si>
    <t>Trường</t>
  </si>
  <si>
    <t xml:space="preserve"> </t>
  </si>
  <si>
    <t>Ánh, Hà</t>
  </si>
  <si>
    <t>Bình, Quân</t>
  </si>
  <si>
    <t>Bình</t>
  </si>
  <si>
    <t>Thiết kế giao diện đăng nhập</t>
  </si>
  <si>
    <t>Thiết kế giao diện đăng xuất</t>
  </si>
  <si>
    <t>Thiết kế giao diện tạo đơn hàng và xử lý thanh toán</t>
  </si>
  <si>
    <t>Thiết kế giao diện xem danh sách, cập nhật trạng thái các đơn pha chế</t>
  </si>
  <si>
    <t>Thiết kế giao diện xem lịch sử các đơn hàng</t>
  </si>
  <si>
    <t>Thiết kế giao diện xem tồn kho</t>
  </si>
  <si>
    <t>Thiết kế giao diện In QR bàn</t>
  </si>
  <si>
    <t>Thiết kế giao diện mở ca làm</t>
  </si>
  <si>
    <t>Thiết kế giao diện kết ca làm</t>
  </si>
  <si>
    <t>Thiết kế  trường kiểm thử cho đăng xuất</t>
  </si>
  <si>
    <t>Thiết kế trường kiểm thử cho tạo đơn hàng và xử lý thanh toán</t>
  </si>
  <si>
    <t>Thiết kế trường kiểm thử cho xem danh sách, cập nhật trạng thái các đơn pha chế</t>
  </si>
  <si>
    <t>Thiết kế trường kiểm thử cho xem lịch sử các đơn hàng</t>
  </si>
  <si>
    <t>Thiết kế trường kiểm thử cho xem tồn kho</t>
  </si>
  <si>
    <t>Thiết kế trường kiểm thử cho mở ca làm</t>
  </si>
  <si>
    <t>Thiết kế trường kiểm thử cho kết ca làm</t>
  </si>
  <si>
    <t>Thiết kế trường kiểm thử cho in QR bàn</t>
  </si>
  <si>
    <t>Code front-end cho đăng nhập</t>
  </si>
  <si>
    <t>Code front-end cho đăng xuất</t>
  </si>
  <si>
    <t>Code front-end cho tạo đơn hàng và xử lý thanh toán</t>
  </si>
  <si>
    <t>Code front-end cho xem danh sách, cập nhật trạng thái các đơn pha chế</t>
  </si>
  <si>
    <t>Code front-end cho xem lịch sử các đơn hàng</t>
  </si>
  <si>
    <t>Code front-end cho xem tồn kho</t>
  </si>
  <si>
    <t>Code front-end cho mở ca làm</t>
  </si>
  <si>
    <t>Code front-end cho  kết ca làm</t>
  </si>
  <si>
    <t>Thiết kế giao diện quản lý thực đơn</t>
  </si>
  <si>
    <t>Thiết kế giao diện quản lý bàn và khu vực</t>
  </si>
  <si>
    <t>Thiết kế giao diện quản lý kho hàng</t>
  </si>
  <si>
    <t>Thiết kế giao diện quản lý nhân sự</t>
  </si>
  <si>
    <t>Thiết kế giao diện quản lý đơn hàng</t>
  </si>
  <si>
    <t>Thiết kế giao diện Báo cáo và thống kê</t>
  </si>
  <si>
    <t>Thiết kế giao diện Xem đánh giá của khách hàng</t>
  </si>
  <si>
    <t>Thiết kế giao diện quản lý ca làm</t>
  </si>
  <si>
    <t>Thiết kế giao diện Tương tác với trợ lý AI</t>
  </si>
  <si>
    <t>Thiết kế trường kiểm thử cho quản lý thực đơn</t>
  </si>
  <si>
    <t>Thiết kế trường kiểm thử cho quản lý kho hàng</t>
  </si>
  <si>
    <t>Thiết kế trường kiểm thử cho quản lý bàn và khu vực</t>
  </si>
  <si>
    <t>Thiết kế trường kiểm thử cho quản lý nhân sự</t>
  </si>
  <si>
    <t>Thiết kế trường kiểm thử cho quản lý đơn hàng</t>
  </si>
  <si>
    <t>Thiết kế trường kiểm thử cho Báo cáo và thống kê</t>
  </si>
  <si>
    <t>Thiết kế trường kiểm thử cho Xem đánh giá của khách hàng</t>
  </si>
  <si>
    <t>Thiết kế trường kiểm thử cho quản lý ca làm</t>
  </si>
  <si>
    <t>Thiết kế trường kiểm thử cho tương tác với trợ lý AI</t>
  </si>
  <si>
    <t>Code front-end cho quản lý thực đơn</t>
  </si>
  <si>
    <t>Code back-end cho quản lý thực đơn</t>
  </si>
  <si>
    <t>Code front-end cho quản lý bàn và khu vực</t>
  </si>
  <si>
    <t>Code back-end cho quản lý bàn và khu vực</t>
  </si>
  <si>
    <t>Code front-end cho quản lý kho hàng</t>
  </si>
  <si>
    <t>Code back-end cho quản lý kho hàng</t>
  </si>
  <si>
    <t>Code front-end cho quản lý nhân sự</t>
  </si>
  <si>
    <t>Code back-end cho quản lý nhân sự</t>
  </si>
  <si>
    <t>Code front-end cho quản lý đơn hàng</t>
  </si>
  <si>
    <t>Code back-end cho quản lý đơn hàng</t>
  </si>
  <si>
    <t>Code front-end cho báo cáo và thống kê</t>
  </si>
  <si>
    <t>Code back-end cho báo cáo và thống kê</t>
  </si>
  <si>
    <t>Code front-end cho Xem đánh giá của khách hàng</t>
  </si>
  <si>
    <t>Code back-end cho Xem đánh giá của khách hàng</t>
  </si>
  <si>
    <t>Code front-end cho quản lý ca làm</t>
  </si>
  <si>
    <t>Code back-end cho quản lý ca làm</t>
  </si>
  <si>
    <t>Code front-end cho tương tác với trợ lý AI</t>
  </si>
  <si>
    <t>Code back-end cho tương tác với trợ lý AI</t>
  </si>
  <si>
    <t>Kiểm tra quản lý thực đơn</t>
  </si>
  <si>
    <t xml:space="preserve">Kiểm tra quản lý bàn và khu vực </t>
  </si>
  <si>
    <t>Kiểm tra quản lý kho hàng</t>
  </si>
  <si>
    <t xml:space="preserve">Kiểm tra nhân sự </t>
  </si>
  <si>
    <t>Kiểm tra đơn hàng</t>
  </si>
  <si>
    <t>Kiểm tra báo cáo thống kê</t>
  </si>
  <si>
    <t>Kiểm tra xem đánh giá của khách hàng</t>
  </si>
  <si>
    <t>Kiểm tra ca làm</t>
  </si>
  <si>
    <t>Kiểm tra tương tác với trợ lý AI</t>
  </si>
  <si>
    <t>Sửa lỗi quản lý thực đơn</t>
  </si>
  <si>
    <t>Sửa lỗi quản lý bàn và khu vực</t>
  </si>
  <si>
    <t>Sửa lỗi quản lý  kho hàng</t>
  </si>
  <si>
    <t>Sửa lỗi quản lý nhân sự</t>
  </si>
  <si>
    <t>Sửa lỗi quản lý đơn hàng</t>
  </si>
  <si>
    <t>Sữa lỗi báo cáo và thống kê</t>
  </si>
  <si>
    <t>Sữa lỗi Xem đánh giá của khách hàng</t>
  </si>
  <si>
    <t>Sữa lỗi quản lý ca làm</t>
  </si>
  <si>
    <t>Sữa lỗi tương tác với trợ lý AI</t>
  </si>
  <si>
    <t>Kiểm tra lại quản lý thực đơn</t>
  </si>
  <si>
    <t>Kiểm tra lại quản lý bàn và khu vực</t>
  </si>
  <si>
    <t>Kiểm tra lại quản lý  kho hàng</t>
  </si>
  <si>
    <t>Kiểm tra quản lý nhân sự</t>
  </si>
  <si>
    <t>Kiểm tra lại quản lý đơn hàng</t>
  </si>
  <si>
    <t>Kiểm tra lại báo cáo và thống kê</t>
  </si>
  <si>
    <t>Kiểm tra lại xem đánh giá của khách hàng</t>
  </si>
  <si>
    <t>Kiểm tra lại quản lý ca làm</t>
  </si>
  <si>
    <t>Kiểm tra lại tương tác với trợ lý AI</t>
  </si>
  <si>
    <t xml:space="preserve">Code front-end cho xem thực đơn và đặt món </t>
  </si>
  <si>
    <t>Bình,Quân</t>
  </si>
  <si>
    <t>Code front-end cho quản lý giỏ hàng</t>
  </si>
  <si>
    <t xml:space="preserve">Code front-end cho thanh toán </t>
  </si>
  <si>
    <t xml:space="preserve">Code front-end cho theo dõi trạng thái đơn hàng </t>
  </si>
  <si>
    <t>Ánh,Hà</t>
  </si>
  <si>
    <t>Code front-end cho in QR bàn</t>
  </si>
  <si>
    <t>Code back-end cho in QR bàn</t>
  </si>
  <si>
    <t>Kiểm tra in QR bàn</t>
  </si>
  <si>
    <t>Sửa lỗi in QR bàn</t>
  </si>
  <si>
    <t>Kiểm tra lại in QR bàn</t>
  </si>
  <si>
    <t>Review all test case of sprint 3</t>
  </si>
  <si>
    <t>Release 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</si>
</sst>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"/>
  </numFmts>
  <fonts count="4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0" borderId="2" xfId="0" applyFont="1" applyBorder="1"/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164" fontId="2" fillId="0" borderId="0" xfId="0" applyNumberFormat="1" applyFont="1" applyAlignment="1">
      <alignment textRotation="90" wrapText="1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1" fillId="2" borderId="6" xfId="0" applyFont="1" applyFill="1" applyBorder="1"/>
    <xf numFmtId="0" fontId="3" fillId="0" borderId="7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1" fillId="3" borderId="8" xfId="0" applyFont="1" applyFill="1" applyBorder="1"/>
    <xf numFmtId="0" fontId="1" fillId="4" borderId="10" xfId="0" applyFont="1" applyFill="1" applyBorder="1"/>
    <xf numFmtId="0" fontId="3" fillId="0" borderId="12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10" borderId="1" xfId="0" applyFont="1" applyFill="1" applyBorder="1"/>
    <xf numFmtId="0" fontId="2" fillId="8" borderId="1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9" borderId="10" xfId="0" applyFont="1" applyFill="1" applyBorder="1" applyAlignment="1">
      <alignment horizontal="left" vertical="center"/>
    </xf>
    <xf numFmtId="0" fontId="1" fillId="9" borderId="8" xfId="0" applyFont="1" applyFill="1" applyBorder="1"/>
    <xf numFmtId="0" fontId="1" fillId="0" borderId="9" xfId="0" applyFont="1" applyBorder="1"/>
    <xf numFmtId="0" fontId="1" fillId="9" borderId="10" xfId="0" applyFont="1" applyFill="1" applyBorder="1"/>
    <xf numFmtId="0" fontId="1" fillId="0" borderId="12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6" borderId="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27" xfId="0" applyFont="1" applyBorder="1" applyAlignment="1">
      <alignment horizontal="left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5" borderId="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06A6335-E086-4BAF-BBBF-4D66F87641CC}"/>
  </tableStyles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417627615094225E-2"/>
          <c:y val="1.8568367867354166E-2"/>
          <c:w val="0.87664781085543753"/>
          <c:h val="0.93354885618900252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1'!$I$15:$Y$15</c:f>
              <c:numCache>
                <c:formatCode>dd/mm</c:formatCode>
                <c:ptCount val="17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</c:numCache>
            </c:numRef>
          </c:cat>
          <c:val>
            <c:numRef>
              <c:f>'Sprint 1'!$I$72:$Y$72</c:f>
              <c:numCache>
                <c:formatCode>General</c:formatCode>
                <c:ptCount val="17"/>
                <c:pt idx="0">
                  <c:v>114</c:v>
                </c:pt>
                <c:pt idx="1">
                  <c:v>110</c:v>
                </c:pt>
                <c:pt idx="2">
                  <c:v>103</c:v>
                </c:pt>
                <c:pt idx="3">
                  <c:v>100</c:v>
                </c:pt>
                <c:pt idx="4">
                  <c:v>91</c:v>
                </c:pt>
                <c:pt idx="5">
                  <c:v>81</c:v>
                </c:pt>
                <c:pt idx="6">
                  <c:v>75</c:v>
                </c:pt>
                <c:pt idx="7">
                  <c:v>67</c:v>
                </c:pt>
                <c:pt idx="8">
                  <c:v>57</c:v>
                </c:pt>
                <c:pt idx="9">
                  <c:v>48</c:v>
                </c:pt>
                <c:pt idx="10">
                  <c:v>42</c:v>
                </c:pt>
                <c:pt idx="11">
                  <c:v>35</c:v>
                </c:pt>
                <c:pt idx="12">
                  <c:v>30</c:v>
                </c:pt>
                <c:pt idx="13">
                  <c:v>24</c:v>
                </c:pt>
                <c:pt idx="14">
                  <c:v>16</c:v>
                </c:pt>
                <c:pt idx="15">
                  <c:v>8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1'!$I$15:$Y$15</c:f>
              <c:numCache>
                <c:formatCode>dd/mm</c:formatCode>
                <c:ptCount val="17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</c:numCache>
            </c:numRef>
          </c:cat>
          <c:val>
            <c:numRef>
              <c:f>'Sprint 1'!$I$73:$Y$73</c:f>
              <c:numCache>
                <c:formatCode>General</c:formatCode>
                <c:ptCount val="17"/>
                <c:pt idx="0">
                  <c:v>117</c:v>
                </c:pt>
                <c:pt idx="1">
                  <c:v>107</c:v>
                </c:pt>
                <c:pt idx="2">
                  <c:v>103</c:v>
                </c:pt>
                <c:pt idx="3">
                  <c:v>101</c:v>
                </c:pt>
                <c:pt idx="4">
                  <c:v>90</c:v>
                </c:pt>
                <c:pt idx="5">
                  <c:v>80</c:v>
                </c:pt>
                <c:pt idx="6">
                  <c:v>76</c:v>
                </c:pt>
                <c:pt idx="7">
                  <c:v>65</c:v>
                </c:pt>
                <c:pt idx="8">
                  <c:v>55</c:v>
                </c:pt>
                <c:pt idx="9">
                  <c:v>47</c:v>
                </c:pt>
                <c:pt idx="10">
                  <c:v>41</c:v>
                </c:pt>
                <c:pt idx="11">
                  <c:v>35</c:v>
                </c:pt>
                <c:pt idx="12">
                  <c:v>30</c:v>
                </c:pt>
                <c:pt idx="13">
                  <c:v>22</c:v>
                </c:pt>
                <c:pt idx="14">
                  <c:v>16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'Sprint 1'!$G$72:$Y$72</c:f>
              <c:numCache>
                <c:formatCode>General</c:formatCode>
                <c:ptCount val="19"/>
                <c:pt idx="0">
                  <c:v>116</c:v>
                </c:pt>
                <c:pt idx="2">
                  <c:v>114</c:v>
                </c:pt>
                <c:pt idx="3">
                  <c:v>110</c:v>
                </c:pt>
                <c:pt idx="4">
                  <c:v>103</c:v>
                </c:pt>
                <c:pt idx="5">
                  <c:v>100</c:v>
                </c:pt>
                <c:pt idx="6">
                  <c:v>91</c:v>
                </c:pt>
                <c:pt idx="7">
                  <c:v>81</c:v>
                </c:pt>
                <c:pt idx="8">
                  <c:v>75</c:v>
                </c:pt>
                <c:pt idx="9">
                  <c:v>67</c:v>
                </c:pt>
                <c:pt idx="10">
                  <c:v>57</c:v>
                </c:pt>
                <c:pt idx="11">
                  <c:v>48</c:v>
                </c:pt>
                <c:pt idx="12">
                  <c:v>42</c:v>
                </c:pt>
                <c:pt idx="13">
                  <c:v>35</c:v>
                </c:pt>
                <c:pt idx="14">
                  <c:v>30</c:v>
                </c:pt>
                <c:pt idx="15">
                  <c:v>24</c:v>
                </c:pt>
                <c:pt idx="16">
                  <c:v>16</c:v>
                </c:pt>
                <c:pt idx="17">
                  <c:v>8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4-4D92-9D05-5EFB832E57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'Sprint 1'!$G$73:$Y$73</c:f>
              <c:numCache>
                <c:formatCode>General</c:formatCode>
                <c:ptCount val="19"/>
                <c:pt idx="0">
                  <c:v>117</c:v>
                </c:pt>
                <c:pt idx="2">
                  <c:v>117</c:v>
                </c:pt>
                <c:pt idx="3">
                  <c:v>107</c:v>
                </c:pt>
                <c:pt idx="4">
                  <c:v>103</c:v>
                </c:pt>
                <c:pt idx="5">
                  <c:v>101</c:v>
                </c:pt>
                <c:pt idx="6">
                  <c:v>90</c:v>
                </c:pt>
                <c:pt idx="7">
                  <c:v>80</c:v>
                </c:pt>
                <c:pt idx="8">
                  <c:v>76</c:v>
                </c:pt>
                <c:pt idx="9">
                  <c:v>65</c:v>
                </c:pt>
                <c:pt idx="10">
                  <c:v>55</c:v>
                </c:pt>
                <c:pt idx="11">
                  <c:v>47</c:v>
                </c:pt>
                <c:pt idx="12">
                  <c:v>41</c:v>
                </c:pt>
                <c:pt idx="13">
                  <c:v>35</c:v>
                </c:pt>
                <c:pt idx="14">
                  <c:v>30</c:v>
                </c:pt>
                <c:pt idx="15">
                  <c:v>22</c:v>
                </c:pt>
                <c:pt idx="16">
                  <c:v>16</c:v>
                </c:pt>
                <c:pt idx="17">
                  <c:v>10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4-4D92-9D05-5EFB832E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2'!$I$13:$X$13</c:f>
              <c:numCache>
                <c:formatCode>dd/mm</c:formatCode>
                <c:ptCount val="16"/>
                <c:pt idx="0">
                  <c:v>46120</c:v>
                </c:pt>
                <c:pt idx="1">
                  <c:v>46121</c:v>
                </c:pt>
                <c:pt idx="2">
                  <c:v>46122</c:v>
                </c:pt>
                <c:pt idx="3">
                  <c:v>46123</c:v>
                </c:pt>
                <c:pt idx="4">
                  <c:v>46124</c:v>
                </c:pt>
                <c:pt idx="5">
                  <c:v>46125</c:v>
                </c:pt>
                <c:pt idx="6">
                  <c:v>46126</c:v>
                </c:pt>
                <c:pt idx="7">
                  <c:v>46127</c:v>
                </c:pt>
                <c:pt idx="8">
                  <c:v>46128</c:v>
                </c:pt>
                <c:pt idx="9">
                  <c:v>46129</c:v>
                </c:pt>
                <c:pt idx="10">
                  <c:v>46130</c:v>
                </c:pt>
                <c:pt idx="11">
                  <c:v>46131</c:v>
                </c:pt>
                <c:pt idx="12">
                  <c:v>46132</c:v>
                </c:pt>
                <c:pt idx="13">
                  <c:v>46133</c:v>
                </c:pt>
                <c:pt idx="14">
                  <c:v>46134</c:v>
                </c:pt>
                <c:pt idx="15">
                  <c:v>46135</c:v>
                </c:pt>
              </c:numCache>
            </c:numRef>
          </c:cat>
          <c:val>
            <c:numRef>
              <c:f>'Sprint 2'!$I$108:$X$108</c:f>
              <c:numCache>
                <c:formatCode>General</c:formatCode>
                <c:ptCount val="16"/>
                <c:pt idx="0">
                  <c:v>156</c:v>
                </c:pt>
                <c:pt idx="1">
                  <c:v>146</c:v>
                </c:pt>
                <c:pt idx="2">
                  <c:v>142</c:v>
                </c:pt>
                <c:pt idx="3">
                  <c:v>132</c:v>
                </c:pt>
                <c:pt idx="4">
                  <c:v>129</c:v>
                </c:pt>
                <c:pt idx="5">
                  <c:v>120</c:v>
                </c:pt>
                <c:pt idx="6">
                  <c:v>109</c:v>
                </c:pt>
                <c:pt idx="7">
                  <c:v>96</c:v>
                </c:pt>
                <c:pt idx="8">
                  <c:v>84</c:v>
                </c:pt>
                <c:pt idx="9">
                  <c:v>73</c:v>
                </c:pt>
                <c:pt idx="10">
                  <c:v>61</c:v>
                </c:pt>
                <c:pt idx="11">
                  <c:v>45</c:v>
                </c:pt>
                <c:pt idx="12">
                  <c:v>37</c:v>
                </c:pt>
                <c:pt idx="13">
                  <c:v>23</c:v>
                </c:pt>
                <c:pt idx="14">
                  <c:v>12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A-4F95-B475-BD0333B2485A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2'!$I$13:$X$13</c:f>
              <c:numCache>
                <c:formatCode>dd/mm</c:formatCode>
                <c:ptCount val="16"/>
                <c:pt idx="0">
                  <c:v>46120</c:v>
                </c:pt>
                <c:pt idx="1">
                  <c:v>46121</c:v>
                </c:pt>
                <c:pt idx="2">
                  <c:v>46122</c:v>
                </c:pt>
                <c:pt idx="3">
                  <c:v>46123</c:v>
                </c:pt>
                <c:pt idx="4">
                  <c:v>46124</c:v>
                </c:pt>
                <c:pt idx="5">
                  <c:v>46125</c:v>
                </c:pt>
                <c:pt idx="6">
                  <c:v>46126</c:v>
                </c:pt>
                <c:pt idx="7">
                  <c:v>46127</c:v>
                </c:pt>
                <c:pt idx="8">
                  <c:v>46128</c:v>
                </c:pt>
                <c:pt idx="9">
                  <c:v>46129</c:v>
                </c:pt>
                <c:pt idx="10">
                  <c:v>46130</c:v>
                </c:pt>
                <c:pt idx="11">
                  <c:v>46131</c:v>
                </c:pt>
                <c:pt idx="12">
                  <c:v>46132</c:v>
                </c:pt>
                <c:pt idx="13">
                  <c:v>46133</c:v>
                </c:pt>
                <c:pt idx="14">
                  <c:v>46134</c:v>
                </c:pt>
                <c:pt idx="15">
                  <c:v>46135</c:v>
                </c:pt>
              </c:numCache>
            </c:numRef>
          </c:cat>
          <c:val>
            <c:numRef>
              <c:f>'Sprint 2'!$I$109:$X$109</c:f>
              <c:numCache>
                <c:formatCode>General</c:formatCode>
                <c:ptCount val="16"/>
                <c:pt idx="0">
                  <c:v>156</c:v>
                </c:pt>
                <c:pt idx="1">
                  <c:v>146</c:v>
                </c:pt>
                <c:pt idx="2">
                  <c:v>142</c:v>
                </c:pt>
                <c:pt idx="3">
                  <c:v>135</c:v>
                </c:pt>
                <c:pt idx="4">
                  <c:v>128</c:v>
                </c:pt>
                <c:pt idx="5">
                  <c:v>117</c:v>
                </c:pt>
                <c:pt idx="6">
                  <c:v>108</c:v>
                </c:pt>
                <c:pt idx="7">
                  <c:v>95</c:v>
                </c:pt>
                <c:pt idx="8">
                  <c:v>83</c:v>
                </c:pt>
                <c:pt idx="9">
                  <c:v>72</c:v>
                </c:pt>
                <c:pt idx="10">
                  <c:v>61</c:v>
                </c:pt>
                <c:pt idx="11">
                  <c:v>44</c:v>
                </c:pt>
                <c:pt idx="12">
                  <c:v>34</c:v>
                </c:pt>
                <c:pt idx="13">
                  <c:v>22</c:v>
                </c:pt>
                <c:pt idx="14">
                  <c:v>10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A-4F95-B475-BD0333B2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3'!$I$13:$AA$13</c:f>
              <c:numCache>
                <c:formatCode>dd/mm</c:formatCode>
                <c:ptCount val="19"/>
                <c:pt idx="0">
                  <c:v>46135</c:v>
                </c:pt>
                <c:pt idx="1">
                  <c:v>46136</c:v>
                </c:pt>
                <c:pt idx="2">
                  <c:v>46137</c:v>
                </c:pt>
                <c:pt idx="3">
                  <c:v>46138</c:v>
                </c:pt>
                <c:pt idx="4">
                  <c:v>46139</c:v>
                </c:pt>
                <c:pt idx="5">
                  <c:v>46140</c:v>
                </c:pt>
                <c:pt idx="6">
                  <c:v>46141</c:v>
                </c:pt>
                <c:pt idx="7">
                  <c:v>46142</c:v>
                </c:pt>
                <c:pt idx="8">
                  <c:v>46143</c:v>
                </c:pt>
                <c:pt idx="9">
                  <c:v>46144</c:v>
                </c:pt>
                <c:pt idx="10">
                  <c:v>46145</c:v>
                </c:pt>
                <c:pt idx="11">
                  <c:v>46146</c:v>
                </c:pt>
                <c:pt idx="12">
                  <c:v>46147</c:v>
                </c:pt>
                <c:pt idx="13">
                  <c:v>46148</c:v>
                </c:pt>
                <c:pt idx="14">
                  <c:v>46149</c:v>
                </c:pt>
                <c:pt idx="15">
                  <c:v>46150</c:v>
                </c:pt>
                <c:pt idx="16">
                  <c:v>46151</c:v>
                </c:pt>
                <c:pt idx="17">
                  <c:v>46152</c:v>
                </c:pt>
                <c:pt idx="18">
                  <c:v>46153</c:v>
                </c:pt>
              </c:numCache>
            </c:numRef>
          </c:cat>
          <c:val>
            <c:numRef>
              <c:f>'Sprint 3'!$I$114:$AA$114</c:f>
              <c:numCache>
                <c:formatCode>General</c:formatCode>
                <c:ptCount val="19"/>
                <c:pt idx="0">
                  <c:v>183</c:v>
                </c:pt>
                <c:pt idx="1">
                  <c:v>171</c:v>
                </c:pt>
                <c:pt idx="2">
                  <c:v>163</c:v>
                </c:pt>
                <c:pt idx="3">
                  <c:v>150</c:v>
                </c:pt>
                <c:pt idx="4">
                  <c:v>141</c:v>
                </c:pt>
                <c:pt idx="5">
                  <c:v>134</c:v>
                </c:pt>
                <c:pt idx="6">
                  <c:v>125</c:v>
                </c:pt>
                <c:pt idx="7">
                  <c:v>115</c:v>
                </c:pt>
                <c:pt idx="8">
                  <c:v>103</c:v>
                </c:pt>
                <c:pt idx="9">
                  <c:v>94</c:v>
                </c:pt>
                <c:pt idx="10">
                  <c:v>80</c:v>
                </c:pt>
                <c:pt idx="11">
                  <c:v>67</c:v>
                </c:pt>
                <c:pt idx="12">
                  <c:v>59</c:v>
                </c:pt>
                <c:pt idx="13">
                  <c:v>52</c:v>
                </c:pt>
                <c:pt idx="14">
                  <c:v>43</c:v>
                </c:pt>
                <c:pt idx="15">
                  <c:v>32</c:v>
                </c:pt>
                <c:pt idx="16">
                  <c:v>24</c:v>
                </c:pt>
                <c:pt idx="17">
                  <c:v>13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B-465B-8891-95096C5F9221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3'!$I$13:$AA$13</c:f>
              <c:numCache>
                <c:formatCode>dd/mm</c:formatCode>
                <c:ptCount val="19"/>
                <c:pt idx="0">
                  <c:v>46135</c:v>
                </c:pt>
                <c:pt idx="1">
                  <c:v>46136</c:v>
                </c:pt>
                <c:pt idx="2">
                  <c:v>46137</c:v>
                </c:pt>
                <c:pt idx="3">
                  <c:v>46138</c:v>
                </c:pt>
                <c:pt idx="4">
                  <c:v>46139</c:v>
                </c:pt>
                <c:pt idx="5">
                  <c:v>46140</c:v>
                </c:pt>
                <c:pt idx="6">
                  <c:v>46141</c:v>
                </c:pt>
                <c:pt idx="7">
                  <c:v>46142</c:v>
                </c:pt>
                <c:pt idx="8">
                  <c:v>46143</c:v>
                </c:pt>
                <c:pt idx="9">
                  <c:v>46144</c:v>
                </c:pt>
                <c:pt idx="10">
                  <c:v>46145</c:v>
                </c:pt>
                <c:pt idx="11">
                  <c:v>46146</c:v>
                </c:pt>
                <c:pt idx="12">
                  <c:v>46147</c:v>
                </c:pt>
                <c:pt idx="13">
                  <c:v>46148</c:v>
                </c:pt>
                <c:pt idx="14">
                  <c:v>46149</c:v>
                </c:pt>
                <c:pt idx="15">
                  <c:v>46150</c:v>
                </c:pt>
                <c:pt idx="16">
                  <c:v>46151</c:v>
                </c:pt>
                <c:pt idx="17">
                  <c:v>46152</c:v>
                </c:pt>
                <c:pt idx="18">
                  <c:v>46153</c:v>
                </c:pt>
              </c:numCache>
            </c:numRef>
          </c:cat>
          <c:val>
            <c:numRef>
              <c:f>'Sprint 3'!$I$115:$AA$115</c:f>
              <c:numCache>
                <c:formatCode>General</c:formatCode>
                <c:ptCount val="19"/>
                <c:pt idx="0">
                  <c:v>183</c:v>
                </c:pt>
                <c:pt idx="1">
                  <c:v>173</c:v>
                </c:pt>
                <c:pt idx="2">
                  <c:v>163</c:v>
                </c:pt>
                <c:pt idx="3">
                  <c:v>149</c:v>
                </c:pt>
                <c:pt idx="4">
                  <c:v>141</c:v>
                </c:pt>
                <c:pt idx="5">
                  <c:v>133</c:v>
                </c:pt>
                <c:pt idx="6">
                  <c:v>124</c:v>
                </c:pt>
                <c:pt idx="7">
                  <c:v>114</c:v>
                </c:pt>
                <c:pt idx="8">
                  <c:v>105</c:v>
                </c:pt>
                <c:pt idx="9">
                  <c:v>91</c:v>
                </c:pt>
                <c:pt idx="10">
                  <c:v>79</c:v>
                </c:pt>
                <c:pt idx="11">
                  <c:v>67</c:v>
                </c:pt>
                <c:pt idx="12">
                  <c:v>57</c:v>
                </c:pt>
                <c:pt idx="13">
                  <c:v>53</c:v>
                </c:pt>
                <c:pt idx="14">
                  <c:v>43</c:v>
                </c:pt>
                <c:pt idx="15">
                  <c:v>33</c:v>
                </c:pt>
                <c:pt idx="16">
                  <c:v>21</c:v>
                </c:pt>
                <c:pt idx="17">
                  <c:v>10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B-465B-8891-95096C5F9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0544"/>
        <c:axId val="226297600"/>
      </c:lineChart>
      <c:dateAx>
        <c:axId val="22629054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7600"/>
        <c:crosses val="autoZero"/>
        <c:auto val="1"/>
        <c:lblOffset val="100"/>
        <c:baseTimeUnit val="days"/>
      </c:dateAx>
      <c:valAx>
        <c:axId val="22629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0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74</xdr:row>
      <xdr:rowOff>57149</xdr:rowOff>
    </xdr:from>
    <xdr:to>
      <xdr:col>18</xdr:col>
      <xdr:colOff>285750</xdr:colOff>
      <xdr:row>106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1170214</xdr:colOff>
      <xdr:row>76</xdr:row>
      <xdr:rowOff>29936</xdr:rowOff>
    </xdr:from>
    <xdr:to>
      <xdr:col>16</xdr:col>
      <xdr:colOff>326571</xdr:colOff>
      <xdr:row>89</xdr:row>
      <xdr:rowOff>119743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368832</xdr:colOff>
      <xdr:row>112</xdr:row>
      <xdr:rowOff>9602</xdr:rowOff>
    </xdr:from>
    <xdr:to>
      <xdr:col>12</xdr:col>
      <xdr:colOff>245568</xdr:colOff>
      <xdr:row>133</xdr:row>
      <xdr:rowOff>109496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1266264</xdr:colOff>
      <xdr:row>115</xdr:row>
      <xdr:rowOff>168088</xdr:rowOff>
    </xdr:from>
    <xdr:to>
      <xdr:col>13</xdr:col>
      <xdr:colOff>123263</xdr:colOff>
      <xdr:row>136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3"/>
  <sheetViews>
    <sheetView zoomScale="70" zoomScaleNormal="70" workbookViewId="0">
      <selection activeCell="D1" sqref="D1:F3"/>
    </sheetView>
  </sheetViews>
  <sheetFormatPr defaultColWidth="9.109375" defaultRowHeight="16.8" x14ac:dyDescent="0.3"/>
  <cols>
    <col min="1" max="1" width="16" style="1" customWidth="1"/>
    <col min="2" max="2" width="20.33203125" style="1" customWidth="1"/>
    <col min="3" max="3" width="127.6640625" style="1" customWidth="1"/>
    <col min="4" max="5" width="11" style="1" customWidth="1"/>
    <col min="6" max="6" width="20.5546875" style="1" customWidth="1"/>
    <col min="7" max="8" width="6.109375" style="1" customWidth="1"/>
    <col min="9" max="9" width="6" style="1" customWidth="1"/>
    <col min="10" max="13" width="6.109375" style="1" customWidth="1"/>
    <col min="14" max="14" width="6" style="1" customWidth="1"/>
    <col min="15" max="15" width="6.109375" style="1" customWidth="1"/>
    <col min="16" max="20" width="6" style="1" customWidth="1"/>
    <col min="21" max="23" width="6.109375" style="1" customWidth="1"/>
    <col min="24" max="24" width="6" style="1" customWidth="1"/>
    <col min="25" max="25" width="6.109375" style="1" customWidth="1"/>
    <col min="26" max="26" width="6" style="1" customWidth="1"/>
    <col min="27" max="27" width="5.88671875" style="1" customWidth="1"/>
    <col min="28" max="28" width="6.109375" style="1" customWidth="1"/>
    <col min="29" max="31" width="6" style="1" customWidth="1"/>
    <col min="32" max="16384" width="9.109375" style="1"/>
  </cols>
  <sheetData>
    <row r="1" spans="1:25" ht="25.8" customHeight="1" thickBot="1" x14ac:dyDescent="0.35">
      <c r="A1" s="54" t="s">
        <v>3</v>
      </c>
      <c r="B1" s="54"/>
      <c r="C1" s="35" t="s">
        <v>121</v>
      </c>
      <c r="E1" s="11"/>
      <c r="F1" s="12" t="s">
        <v>55</v>
      </c>
    </row>
    <row r="2" spans="1:25" ht="17.399999999999999" thickBot="1" x14ac:dyDescent="0.35">
      <c r="A2" s="54" t="s">
        <v>2</v>
      </c>
      <c r="B2" s="54"/>
      <c r="C2" s="3" t="s">
        <v>4</v>
      </c>
      <c r="E2" s="14"/>
      <c r="F2" s="13" t="s">
        <v>53</v>
      </c>
    </row>
    <row r="3" spans="1:25" ht="17.399999999999999" thickBot="1" x14ac:dyDescent="0.35">
      <c r="A3" s="54" t="s">
        <v>1</v>
      </c>
      <c r="B3" s="54"/>
      <c r="C3" s="36">
        <v>46104</v>
      </c>
      <c r="E3" s="15"/>
      <c r="F3" s="16" t="s">
        <v>52</v>
      </c>
    </row>
    <row r="4" spans="1:25" ht="17.25" customHeight="1" thickBot="1" x14ac:dyDescent="0.35">
      <c r="A4" s="54" t="s">
        <v>0</v>
      </c>
      <c r="B4" s="54"/>
      <c r="C4" s="36">
        <v>46119</v>
      </c>
    </row>
    <row r="5" spans="1:25" ht="16.5" customHeight="1" thickBot="1" x14ac:dyDescent="0.35"/>
    <row r="6" spans="1:25" ht="17.399999999999999" thickBot="1" x14ac:dyDescent="0.35">
      <c r="B6" s="59" t="s">
        <v>5</v>
      </c>
      <c r="C6" s="59"/>
      <c r="D6" s="59"/>
      <c r="E6" s="59"/>
    </row>
    <row r="7" spans="1:25" ht="17.399999999999999" thickBot="1" x14ac:dyDescent="0.35">
      <c r="B7" s="7" t="s">
        <v>6</v>
      </c>
      <c r="C7" s="7" t="s">
        <v>49</v>
      </c>
      <c r="D7" s="7" t="s">
        <v>11</v>
      </c>
      <c r="E7" s="7" t="s">
        <v>48</v>
      </c>
    </row>
    <row r="8" spans="1:25" ht="17.399999999999999" thickBot="1" x14ac:dyDescent="0.35">
      <c r="B8" s="9">
        <v>1</v>
      </c>
      <c r="C8" s="3" t="s">
        <v>116</v>
      </c>
      <c r="D8" s="3">
        <f ca="1">SUMIF(E16:F71,"Trường",G16:G71)+SUMIF(E16:F71,"All team",G16:G71)/5</f>
        <v>33.799999999999997</v>
      </c>
      <c r="E8" s="3">
        <f ca="1">SUMIF(E16:F71,"Trường",H16:H71)+SUMIF(E16:F71,"All team",H16:H71)/5</f>
        <v>35</v>
      </c>
    </row>
    <row r="9" spans="1:25" ht="17.399999999999999" thickBot="1" x14ac:dyDescent="0.35">
      <c r="B9" s="9">
        <v>2</v>
      </c>
      <c r="C9" s="3" t="s">
        <v>117</v>
      </c>
      <c r="D9" s="3">
        <f ca="1">SUMIF(E16:F71,"Ánh",G16:G71)+SUMIF(E16:F71,"All team",G16:G71)/5+SUMIF(E16:F71,"Ánh,Hà",G16:G71)/2</f>
        <v>19.8</v>
      </c>
      <c r="E9" s="3">
        <f ca="1">SUMIF(E16:F71,"Ánh",H16:H71)+SUMIF(E16:F71,"All team",H16:H71)/5+SUMIF(E16:F71,"Ánh,Hà",H16:H71)/2</f>
        <v>21</v>
      </c>
    </row>
    <row r="10" spans="1:25" ht="17.399999999999999" thickBot="1" x14ac:dyDescent="0.35">
      <c r="B10" s="9">
        <v>3</v>
      </c>
      <c r="C10" s="3" t="s">
        <v>118</v>
      </c>
      <c r="D10" s="3">
        <f ca="1">SUMIF(E16:F71,"Bình",G16:G71)+SUMIF(E16:F71,"All team",G16:G71)/5+SUMIF(E16:F71,"Bình,Quân",G16:G71)/2</f>
        <v>18.3</v>
      </c>
      <c r="E10" s="3">
        <f ca="1">SUMIF(E16:F71,"Bình",H16:H71)+SUMIF(E16:F71,"All team",H16:H71)/5+SUMIF(E16:F71,"Bình,Quân",H16:H71)/2</f>
        <v>18</v>
      </c>
    </row>
    <row r="11" spans="1:25" ht="17.399999999999999" thickBot="1" x14ac:dyDescent="0.35">
      <c r="B11" s="9">
        <v>4</v>
      </c>
      <c r="C11" s="3" t="s">
        <v>119</v>
      </c>
      <c r="D11" s="3">
        <f ca="1">SUMIF(E16:F71,"Hà",G16:G71)+SUMIF(E16:F71,"All team",G16:G71)/5+SUMIF(E16:F71,"Ánh,Hà",G16:G71)/2</f>
        <v>19.8</v>
      </c>
      <c r="E11" s="3">
        <f ca="1">SUMIF(E16:F71,"Hà",H16:H71)+SUMIF(E16:F71,"All team",H16:H71)/5+SUMIF(E16:F71,"Ánh,Hà",H16:H71)/2</f>
        <v>21</v>
      </c>
    </row>
    <row r="12" spans="1:25" ht="17.399999999999999" thickBot="1" x14ac:dyDescent="0.35">
      <c r="B12" s="9">
        <v>5</v>
      </c>
      <c r="C12" s="3" t="s">
        <v>120</v>
      </c>
      <c r="D12" s="3">
        <f ca="1">SUMIF(E16:F71,"Quân",G16:G71)+SUMIF(E16:F71,"All team",G16:G71)/5+SUMIF(E16:F71,"Bình,Quân",G16:G71)/2</f>
        <v>24.3</v>
      </c>
      <c r="E12" s="3">
        <f ca="1">SUMIF(E16:F71,"Quân",H16:H71)+SUMIF(E16:F71,"All team",H16:H71)/5+SUMIF(E16:F71,"Bình,Quân",H16:H71)/2</f>
        <v>22</v>
      </c>
    </row>
    <row r="13" spans="1:25" ht="17.399999999999999" thickBot="1" x14ac:dyDescent="0.35">
      <c r="B13" s="59" t="s">
        <v>12</v>
      </c>
      <c r="C13" s="59"/>
      <c r="D13" s="6">
        <f ca="1">SUM(D8:D12)</f>
        <v>115.99999999999999</v>
      </c>
      <c r="E13" s="6">
        <f ca="1">SUM(E8:E12)</f>
        <v>117</v>
      </c>
    </row>
    <row r="15" spans="1:25" ht="62.25" customHeight="1" x14ac:dyDescent="0.3">
      <c r="A15" s="17" t="s">
        <v>7</v>
      </c>
      <c r="B15" s="17" t="s">
        <v>8</v>
      </c>
      <c r="C15" s="60" t="s">
        <v>9</v>
      </c>
      <c r="D15" s="60"/>
      <c r="E15" s="60" t="s">
        <v>10</v>
      </c>
      <c r="F15" s="60"/>
      <c r="G15" s="18" t="s">
        <v>11</v>
      </c>
      <c r="H15" s="18" t="s">
        <v>48</v>
      </c>
      <c r="I15" s="19">
        <v>46104</v>
      </c>
      <c r="J15" s="19">
        <v>46105</v>
      </c>
      <c r="K15" s="19">
        <v>46106</v>
      </c>
      <c r="L15" s="19">
        <v>46107</v>
      </c>
      <c r="M15" s="19">
        <v>46108</v>
      </c>
      <c r="N15" s="19">
        <v>46109</v>
      </c>
      <c r="O15" s="19">
        <v>46110</v>
      </c>
      <c r="P15" s="19">
        <v>46111</v>
      </c>
      <c r="Q15" s="19">
        <v>46112</v>
      </c>
      <c r="R15" s="19">
        <v>46113</v>
      </c>
      <c r="S15" s="19">
        <v>46114</v>
      </c>
      <c r="T15" s="19">
        <v>46115</v>
      </c>
      <c r="U15" s="19">
        <v>46116</v>
      </c>
      <c r="V15" s="19">
        <v>46117</v>
      </c>
      <c r="W15" s="19">
        <v>46118</v>
      </c>
      <c r="X15" s="19">
        <v>46119</v>
      </c>
      <c r="Y15" s="19">
        <v>46120</v>
      </c>
    </row>
    <row r="16" spans="1:25" x14ac:dyDescent="0.3">
      <c r="A16" s="46" t="s">
        <v>4</v>
      </c>
      <c r="B16" s="45" t="s">
        <v>13</v>
      </c>
      <c r="C16" s="45"/>
      <c r="D16" s="45"/>
      <c r="E16" s="42" t="s">
        <v>47</v>
      </c>
      <c r="F16" s="42"/>
      <c r="G16" s="20">
        <v>7</v>
      </c>
      <c r="H16" s="20">
        <v>10</v>
      </c>
      <c r="I16" s="20">
        <v>7</v>
      </c>
      <c r="J16" s="21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</row>
    <row r="17" spans="1:25" x14ac:dyDescent="0.3">
      <c r="A17" s="46"/>
      <c r="B17" s="40"/>
      <c r="C17" s="61"/>
      <c r="D17" s="41"/>
      <c r="E17" s="40"/>
      <c r="F17" s="41"/>
      <c r="G17" s="20"/>
      <c r="H17" s="20"/>
      <c r="I17" s="20"/>
      <c r="J17" s="22">
        <v>3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x14ac:dyDescent="0.3">
      <c r="A18" s="46"/>
      <c r="B18" s="45" t="s">
        <v>14</v>
      </c>
      <c r="C18" s="45"/>
      <c r="D18" s="45"/>
      <c r="E18" s="42" t="s">
        <v>47</v>
      </c>
      <c r="F18" s="42"/>
      <c r="G18" s="20">
        <v>4</v>
      </c>
      <c r="H18" s="20">
        <v>4</v>
      </c>
      <c r="I18" s="20">
        <v>4</v>
      </c>
      <c r="J18" s="20">
        <v>4</v>
      </c>
      <c r="K18" s="21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</row>
    <row r="19" spans="1:25" x14ac:dyDescent="0.3">
      <c r="A19" s="46"/>
      <c r="B19" s="45" t="s">
        <v>15</v>
      </c>
      <c r="C19" s="45"/>
      <c r="D19" s="45"/>
      <c r="E19" s="42" t="s">
        <v>85</v>
      </c>
      <c r="F19" s="42"/>
      <c r="G19" s="20">
        <v>3</v>
      </c>
      <c r="H19" s="20">
        <v>3</v>
      </c>
      <c r="I19" s="20">
        <v>3</v>
      </c>
      <c r="J19" s="20">
        <v>3</v>
      </c>
      <c r="K19" s="20">
        <v>3</v>
      </c>
      <c r="L19" s="21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</row>
    <row r="20" spans="1:25" x14ac:dyDescent="0.3">
      <c r="A20" s="46"/>
      <c r="B20" s="46" t="s">
        <v>16</v>
      </c>
      <c r="C20" s="45" t="s">
        <v>84</v>
      </c>
      <c r="D20" s="45"/>
      <c r="E20" s="42" t="s">
        <v>122</v>
      </c>
      <c r="F20" s="42"/>
      <c r="G20" s="20">
        <v>2</v>
      </c>
      <c r="H20" s="20">
        <v>2</v>
      </c>
      <c r="I20" s="20">
        <v>2</v>
      </c>
      <c r="J20" s="20">
        <v>2</v>
      </c>
      <c r="K20" s="20">
        <v>2</v>
      </c>
      <c r="L20" s="20">
        <v>2</v>
      </c>
      <c r="M20" s="21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</row>
    <row r="21" spans="1:25" x14ac:dyDescent="0.3">
      <c r="A21" s="46"/>
      <c r="B21" s="46"/>
      <c r="C21" s="45" t="s">
        <v>86</v>
      </c>
      <c r="D21" s="45"/>
      <c r="E21" s="42" t="s">
        <v>123</v>
      </c>
      <c r="F21" s="42"/>
      <c r="G21" s="20">
        <v>2</v>
      </c>
      <c r="H21" s="20">
        <v>2</v>
      </c>
      <c r="I21" s="20">
        <v>2</v>
      </c>
      <c r="J21" s="20">
        <v>2</v>
      </c>
      <c r="K21" s="20">
        <v>2</v>
      </c>
      <c r="L21" s="20">
        <v>2</v>
      </c>
      <c r="M21" s="21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</row>
    <row r="22" spans="1:25" x14ac:dyDescent="0.3">
      <c r="A22" s="46"/>
      <c r="B22" s="46"/>
      <c r="C22" s="45" t="s">
        <v>87</v>
      </c>
      <c r="D22" s="45"/>
      <c r="E22" s="42" t="s">
        <v>128</v>
      </c>
      <c r="F22" s="42"/>
      <c r="G22" s="20">
        <v>1</v>
      </c>
      <c r="H22" s="20">
        <v>2</v>
      </c>
      <c r="I22" s="20">
        <v>2</v>
      </c>
      <c r="J22" s="20">
        <v>2</v>
      </c>
      <c r="K22" s="20">
        <v>2</v>
      </c>
      <c r="L22" s="20">
        <v>1</v>
      </c>
      <c r="M22" s="21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</row>
    <row r="23" spans="1:25" x14ac:dyDescent="0.3">
      <c r="A23" s="46"/>
      <c r="B23" s="46"/>
      <c r="C23" s="40"/>
      <c r="D23" s="41"/>
      <c r="E23" s="42"/>
      <c r="F23" s="42"/>
      <c r="G23" s="20"/>
      <c r="H23" s="20"/>
      <c r="I23" s="20"/>
      <c r="J23" s="20"/>
      <c r="K23" s="20"/>
      <c r="L23" s="20"/>
      <c r="M23" s="22">
        <v>1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 x14ac:dyDescent="0.3">
      <c r="A24" s="46"/>
      <c r="B24" s="46"/>
      <c r="C24" s="45" t="s">
        <v>88</v>
      </c>
      <c r="D24" s="45"/>
      <c r="E24" s="42" t="s">
        <v>85</v>
      </c>
      <c r="F24" s="42"/>
      <c r="G24" s="20">
        <v>3</v>
      </c>
      <c r="H24" s="20">
        <v>2</v>
      </c>
      <c r="I24" s="20">
        <v>2</v>
      </c>
      <c r="J24" s="20">
        <v>2</v>
      </c>
      <c r="K24" s="20">
        <v>2</v>
      </c>
      <c r="L24" s="20">
        <v>3</v>
      </c>
      <c r="M24" s="21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</row>
    <row r="25" spans="1:25" x14ac:dyDescent="0.3">
      <c r="A25" s="46"/>
      <c r="B25" s="46"/>
      <c r="C25" s="40"/>
      <c r="D25" s="41"/>
      <c r="E25" s="40"/>
      <c r="F25" s="41"/>
      <c r="G25" s="20"/>
      <c r="H25" s="20"/>
      <c r="I25" s="20"/>
      <c r="J25" s="20"/>
      <c r="K25" s="20"/>
      <c r="L25" s="20"/>
      <c r="M25" s="23">
        <v>1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x14ac:dyDescent="0.3">
      <c r="A26" s="46"/>
      <c r="B26" s="46"/>
      <c r="C26" s="45" t="s">
        <v>89</v>
      </c>
      <c r="D26" s="45"/>
      <c r="E26" s="42" t="s">
        <v>124</v>
      </c>
      <c r="F26" s="42"/>
      <c r="G26" s="20">
        <v>2</v>
      </c>
      <c r="H26" s="20">
        <v>2</v>
      </c>
      <c r="I26" s="20">
        <v>2</v>
      </c>
      <c r="J26" s="20">
        <v>2</v>
      </c>
      <c r="K26" s="20">
        <v>2</v>
      </c>
      <c r="L26" s="20">
        <v>2</v>
      </c>
      <c r="M26" s="21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</row>
    <row r="27" spans="1:25" x14ac:dyDescent="0.3">
      <c r="A27" s="46"/>
      <c r="B27" s="46"/>
      <c r="C27" s="45" t="s">
        <v>19</v>
      </c>
      <c r="D27" s="45"/>
      <c r="E27" s="42" t="s">
        <v>47</v>
      </c>
      <c r="F27" s="42"/>
      <c r="G27" s="20">
        <v>4</v>
      </c>
      <c r="H27" s="20">
        <v>5</v>
      </c>
      <c r="I27" s="20">
        <v>5</v>
      </c>
      <c r="J27" s="20">
        <v>5</v>
      </c>
      <c r="K27" s="20">
        <v>5</v>
      </c>
      <c r="L27" s="20">
        <v>5</v>
      </c>
      <c r="M27" s="20">
        <v>4</v>
      </c>
      <c r="N27" s="21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</row>
    <row r="28" spans="1:25" x14ac:dyDescent="0.3">
      <c r="A28" s="46"/>
      <c r="B28" s="46"/>
      <c r="C28" s="45"/>
      <c r="D28" s="45"/>
      <c r="E28" s="42"/>
      <c r="F28" s="42"/>
      <c r="G28" s="20"/>
      <c r="H28" s="20"/>
      <c r="I28" s="20"/>
      <c r="J28" s="20"/>
      <c r="K28" s="20"/>
      <c r="L28" s="20"/>
      <c r="M28" s="20"/>
      <c r="N28" s="22">
        <v>1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 x14ac:dyDescent="0.3">
      <c r="A29" s="46"/>
      <c r="B29" s="46" t="s">
        <v>20</v>
      </c>
      <c r="C29" s="45" t="s">
        <v>90</v>
      </c>
      <c r="D29" s="45"/>
      <c r="E29" s="42" t="s">
        <v>122</v>
      </c>
      <c r="F29" s="42"/>
      <c r="G29" s="20">
        <v>1</v>
      </c>
      <c r="H29" s="20">
        <v>1</v>
      </c>
      <c r="I29" s="20">
        <v>1</v>
      </c>
      <c r="J29" s="20">
        <v>1</v>
      </c>
      <c r="K29" s="20">
        <v>1</v>
      </c>
      <c r="L29" s="20">
        <v>1</v>
      </c>
      <c r="M29" s="20">
        <v>1</v>
      </c>
      <c r="N29" s="21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</row>
    <row r="30" spans="1:25" x14ac:dyDescent="0.3">
      <c r="A30" s="46"/>
      <c r="B30" s="46"/>
      <c r="C30" s="45" t="s">
        <v>91</v>
      </c>
      <c r="D30" s="45"/>
      <c r="E30" s="42" t="s">
        <v>123</v>
      </c>
      <c r="F30" s="42"/>
      <c r="G30" s="20">
        <v>1</v>
      </c>
      <c r="H30" s="20">
        <v>1</v>
      </c>
      <c r="I30" s="20">
        <v>1</v>
      </c>
      <c r="J30" s="20">
        <v>1</v>
      </c>
      <c r="K30" s="20">
        <v>1</v>
      </c>
      <c r="L30" s="20">
        <v>1</v>
      </c>
      <c r="M30" s="20">
        <v>1</v>
      </c>
      <c r="N30" s="21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</row>
    <row r="31" spans="1:25" x14ac:dyDescent="0.3">
      <c r="A31" s="46"/>
      <c r="B31" s="46"/>
      <c r="C31" s="45" t="s">
        <v>92</v>
      </c>
      <c r="D31" s="45"/>
      <c r="E31" s="42" t="s">
        <v>128</v>
      </c>
      <c r="F31" s="42"/>
      <c r="G31" s="20">
        <v>1</v>
      </c>
      <c r="H31" s="20">
        <v>1</v>
      </c>
      <c r="I31" s="20">
        <v>1</v>
      </c>
      <c r="J31" s="20">
        <v>1</v>
      </c>
      <c r="K31" s="20">
        <v>1</v>
      </c>
      <c r="L31" s="20">
        <v>1</v>
      </c>
      <c r="M31" s="20">
        <v>1</v>
      </c>
      <c r="N31" s="21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</row>
    <row r="32" spans="1:25" x14ac:dyDescent="0.3">
      <c r="A32" s="46"/>
      <c r="B32" s="46"/>
      <c r="C32" s="45" t="s">
        <v>93</v>
      </c>
      <c r="D32" s="45"/>
      <c r="E32" s="42" t="s">
        <v>85</v>
      </c>
      <c r="F32" s="42"/>
      <c r="G32" s="20">
        <v>1</v>
      </c>
      <c r="H32" s="20">
        <v>1</v>
      </c>
      <c r="I32" s="20">
        <v>1</v>
      </c>
      <c r="J32" s="20">
        <v>1</v>
      </c>
      <c r="K32" s="20">
        <v>1</v>
      </c>
      <c r="L32" s="20">
        <v>1</v>
      </c>
      <c r="M32" s="20">
        <v>1</v>
      </c>
      <c r="N32" s="21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</row>
    <row r="33" spans="1:25" x14ac:dyDescent="0.3">
      <c r="A33" s="46"/>
      <c r="B33" s="46"/>
      <c r="C33" s="45" t="s">
        <v>94</v>
      </c>
      <c r="D33" s="45"/>
      <c r="E33" s="42" t="s">
        <v>124</v>
      </c>
      <c r="F33" s="42"/>
      <c r="G33" s="20">
        <v>1</v>
      </c>
      <c r="H33" s="20">
        <v>1</v>
      </c>
      <c r="I33" s="20">
        <v>1</v>
      </c>
      <c r="J33" s="20">
        <v>1</v>
      </c>
      <c r="K33" s="20">
        <v>1</v>
      </c>
      <c r="L33" s="20">
        <v>1</v>
      </c>
      <c r="M33" s="20">
        <v>1</v>
      </c>
      <c r="N33" s="21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</row>
    <row r="34" spans="1:25" x14ac:dyDescent="0.3">
      <c r="A34" s="46"/>
      <c r="B34" s="46"/>
      <c r="C34" s="45" t="s">
        <v>18</v>
      </c>
      <c r="D34" s="45"/>
      <c r="E34" s="42" t="s">
        <v>47</v>
      </c>
      <c r="F34" s="42"/>
      <c r="G34" s="20">
        <v>5</v>
      </c>
      <c r="H34" s="20">
        <v>5</v>
      </c>
      <c r="I34" s="20">
        <v>5</v>
      </c>
      <c r="J34" s="20">
        <v>5</v>
      </c>
      <c r="K34" s="20">
        <v>5</v>
      </c>
      <c r="L34" s="20">
        <v>5</v>
      </c>
      <c r="M34" s="20">
        <v>5</v>
      </c>
      <c r="N34" s="20">
        <v>5</v>
      </c>
      <c r="O34" s="21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</row>
    <row r="35" spans="1:25" x14ac:dyDescent="0.3">
      <c r="A35" s="46"/>
      <c r="B35" s="46" t="s">
        <v>23</v>
      </c>
      <c r="C35" s="45" t="s">
        <v>217</v>
      </c>
      <c r="D35" s="45"/>
      <c r="E35" s="42" t="s">
        <v>222</v>
      </c>
      <c r="F35" s="42"/>
      <c r="G35" s="20">
        <v>5</v>
      </c>
      <c r="H35" s="20">
        <v>6</v>
      </c>
      <c r="I35" s="20">
        <v>6</v>
      </c>
      <c r="J35" s="20">
        <v>6</v>
      </c>
      <c r="K35" s="20">
        <v>6</v>
      </c>
      <c r="L35" s="20">
        <v>6</v>
      </c>
      <c r="M35" s="20">
        <v>6</v>
      </c>
      <c r="N35" s="20">
        <v>6</v>
      </c>
      <c r="O35" s="20">
        <v>6</v>
      </c>
      <c r="P35" s="21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</row>
    <row r="36" spans="1:25" x14ac:dyDescent="0.3">
      <c r="A36" s="46"/>
      <c r="B36" s="46"/>
      <c r="C36" s="40"/>
      <c r="D36" s="41"/>
      <c r="E36" s="40"/>
      <c r="F36" s="41"/>
      <c r="G36" s="20"/>
      <c r="H36" s="20"/>
      <c r="I36" s="20"/>
      <c r="J36" s="20"/>
      <c r="K36" s="20"/>
      <c r="L36" s="20"/>
      <c r="M36" s="20"/>
      <c r="N36" s="20"/>
      <c r="O36" s="20"/>
      <c r="P36" s="22">
        <v>1</v>
      </c>
      <c r="Q36" s="20"/>
      <c r="R36" s="20"/>
      <c r="S36" s="20"/>
      <c r="T36" s="20"/>
      <c r="U36" s="20"/>
      <c r="V36" s="20"/>
      <c r="W36" s="20"/>
      <c r="X36" s="20"/>
      <c r="Y36" s="20"/>
    </row>
    <row r="37" spans="1:25" x14ac:dyDescent="0.3">
      <c r="A37" s="46"/>
      <c r="B37" s="46"/>
      <c r="C37" s="45" t="s">
        <v>95</v>
      </c>
      <c r="D37" s="45"/>
      <c r="E37" s="42" t="s">
        <v>124</v>
      </c>
      <c r="F37" s="42"/>
      <c r="G37" s="20">
        <v>5</v>
      </c>
      <c r="H37" s="20">
        <v>4</v>
      </c>
      <c r="I37" s="20">
        <v>4</v>
      </c>
      <c r="J37" s="20">
        <v>4</v>
      </c>
      <c r="K37" s="20">
        <v>4</v>
      </c>
      <c r="L37" s="20">
        <v>4</v>
      </c>
      <c r="M37" s="20">
        <v>4</v>
      </c>
      <c r="N37" s="20">
        <v>4</v>
      </c>
      <c r="O37" s="20">
        <v>4</v>
      </c>
      <c r="P37" s="21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</row>
    <row r="38" spans="1:25" x14ac:dyDescent="0.3">
      <c r="A38" s="46"/>
      <c r="B38" s="46"/>
      <c r="C38" s="40"/>
      <c r="D38" s="41"/>
      <c r="E38" s="40"/>
      <c r="F38" s="41"/>
      <c r="G38" s="20"/>
      <c r="H38" s="20"/>
      <c r="I38" s="20"/>
      <c r="J38" s="20"/>
      <c r="K38" s="20"/>
      <c r="L38" s="20"/>
      <c r="M38" s="20"/>
      <c r="N38" s="20"/>
      <c r="O38" s="20"/>
      <c r="P38" s="23">
        <v>1</v>
      </c>
      <c r="Q38" s="20"/>
      <c r="R38" s="20"/>
      <c r="S38" s="20"/>
      <c r="T38" s="20"/>
      <c r="U38" s="20"/>
      <c r="V38" s="20"/>
      <c r="W38" s="20"/>
      <c r="X38" s="20"/>
      <c r="Y38" s="20"/>
    </row>
    <row r="39" spans="1:25" x14ac:dyDescent="0.3">
      <c r="A39" s="46"/>
      <c r="B39" s="46"/>
      <c r="C39" s="45" t="s">
        <v>219</v>
      </c>
      <c r="D39" s="45"/>
      <c r="E39" s="42" t="s">
        <v>218</v>
      </c>
      <c r="F39" s="42"/>
      <c r="G39" s="20">
        <v>4</v>
      </c>
      <c r="H39" s="20">
        <v>2</v>
      </c>
      <c r="I39" s="20">
        <v>2</v>
      </c>
      <c r="J39" s="20">
        <v>2</v>
      </c>
      <c r="K39" s="20">
        <v>2</v>
      </c>
      <c r="L39" s="20">
        <v>2</v>
      </c>
      <c r="M39" s="20">
        <v>2</v>
      </c>
      <c r="N39" s="20">
        <v>2</v>
      </c>
      <c r="O39" s="20">
        <v>2</v>
      </c>
      <c r="P39" s="20">
        <v>2</v>
      </c>
      <c r="Q39" s="21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</row>
    <row r="40" spans="1:25" x14ac:dyDescent="0.3">
      <c r="A40" s="46"/>
      <c r="B40" s="46"/>
      <c r="C40" s="45"/>
      <c r="D40" s="45"/>
      <c r="E40" s="42"/>
      <c r="F40" s="42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3">
        <v>2</v>
      </c>
      <c r="R40" s="20"/>
      <c r="S40" s="20"/>
      <c r="T40" s="20"/>
      <c r="U40" s="20"/>
      <c r="V40" s="20"/>
      <c r="W40" s="20"/>
      <c r="X40" s="20"/>
      <c r="Y40" s="20"/>
    </row>
    <row r="41" spans="1:25" x14ac:dyDescent="0.3">
      <c r="A41" s="46"/>
      <c r="B41" s="46"/>
      <c r="C41" s="45" t="s">
        <v>96</v>
      </c>
      <c r="D41" s="45"/>
      <c r="E41" s="42" t="s">
        <v>124</v>
      </c>
      <c r="F41" s="42"/>
      <c r="G41" s="20">
        <v>6</v>
      </c>
      <c r="H41" s="20">
        <v>6</v>
      </c>
      <c r="I41" s="20">
        <v>6</v>
      </c>
      <c r="J41" s="20">
        <v>6</v>
      </c>
      <c r="K41" s="20">
        <v>6</v>
      </c>
      <c r="L41" s="20">
        <v>6</v>
      </c>
      <c r="M41" s="20">
        <v>6</v>
      </c>
      <c r="N41" s="20">
        <v>6</v>
      </c>
      <c r="O41" s="20">
        <v>6</v>
      </c>
      <c r="P41" s="20">
        <v>6</v>
      </c>
      <c r="Q41" s="21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</row>
    <row r="42" spans="1:25" x14ac:dyDescent="0.3">
      <c r="A42" s="46"/>
      <c r="B42" s="46"/>
      <c r="C42" s="45" t="s">
        <v>220</v>
      </c>
      <c r="D42" s="45"/>
      <c r="E42" s="42" t="s">
        <v>222</v>
      </c>
      <c r="F42" s="42"/>
      <c r="G42" s="20">
        <v>2</v>
      </c>
      <c r="H42" s="20">
        <v>2</v>
      </c>
      <c r="I42" s="20">
        <v>2</v>
      </c>
      <c r="J42" s="20">
        <v>2</v>
      </c>
      <c r="K42" s="20">
        <v>2</v>
      </c>
      <c r="L42" s="20">
        <v>2</v>
      </c>
      <c r="M42" s="20">
        <v>2</v>
      </c>
      <c r="N42" s="20">
        <v>2</v>
      </c>
      <c r="O42" s="20">
        <v>2</v>
      </c>
      <c r="P42" s="20">
        <v>2</v>
      </c>
      <c r="Q42" s="21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</row>
    <row r="43" spans="1:25" x14ac:dyDescent="0.3">
      <c r="A43" s="46"/>
      <c r="B43" s="46"/>
      <c r="C43" s="45" t="s">
        <v>97</v>
      </c>
      <c r="D43" s="45"/>
      <c r="E43" s="42" t="s">
        <v>124</v>
      </c>
      <c r="F43" s="42"/>
      <c r="G43" s="20">
        <v>2</v>
      </c>
      <c r="H43" s="20">
        <v>2</v>
      </c>
      <c r="I43" s="20">
        <v>2</v>
      </c>
      <c r="J43" s="20">
        <v>2</v>
      </c>
      <c r="K43" s="20">
        <v>2</v>
      </c>
      <c r="L43" s="20">
        <v>2</v>
      </c>
      <c r="M43" s="20">
        <v>2</v>
      </c>
      <c r="N43" s="20">
        <v>2</v>
      </c>
      <c r="O43" s="20">
        <v>2</v>
      </c>
      <c r="P43" s="20">
        <v>2</v>
      </c>
      <c r="Q43" s="20">
        <v>2</v>
      </c>
      <c r="R43" s="21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</row>
    <row r="44" spans="1:25" x14ac:dyDescent="0.3">
      <c r="A44" s="46"/>
      <c r="B44" s="46"/>
      <c r="C44" s="45" t="s">
        <v>221</v>
      </c>
      <c r="D44" s="45"/>
      <c r="E44" s="42" t="s">
        <v>218</v>
      </c>
      <c r="F44" s="42"/>
      <c r="G44" s="20">
        <v>4</v>
      </c>
      <c r="H44" s="20">
        <v>2</v>
      </c>
      <c r="I44" s="20">
        <v>2</v>
      </c>
      <c r="J44" s="20">
        <v>2</v>
      </c>
      <c r="K44" s="20">
        <v>2</v>
      </c>
      <c r="L44" s="20">
        <v>2</v>
      </c>
      <c r="M44" s="20">
        <v>2</v>
      </c>
      <c r="N44" s="20">
        <v>2</v>
      </c>
      <c r="O44" s="20">
        <v>2</v>
      </c>
      <c r="P44" s="20">
        <v>2</v>
      </c>
      <c r="Q44" s="20">
        <v>2</v>
      </c>
      <c r="R44" s="21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</row>
    <row r="45" spans="1:25" x14ac:dyDescent="0.3">
      <c r="A45" s="46"/>
      <c r="B45" s="46"/>
      <c r="C45" s="40"/>
      <c r="D45" s="41"/>
      <c r="E45" s="40"/>
      <c r="F45" s="41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3">
        <v>2</v>
      </c>
      <c r="S45" s="20"/>
      <c r="T45" s="20"/>
      <c r="U45" s="20"/>
      <c r="V45" s="20"/>
      <c r="W45" s="20"/>
      <c r="X45" s="20"/>
      <c r="Y45" s="20"/>
    </row>
    <row r="46" spans="1:25" x14ac:dyDescent="0.3">
      <c r="A46" s="46"/>
      <c r="B46" s="46"/>
      <c r="C46" s="45" t="s">
        <v>98</v>
      </c>
      <c r="D46" s="45"/>
      <c r="E46" s="42" t="s">
        <v>124</v>
      </c>
      <c r="F46" s="42"/>
      <c r="G46" s="20">
        <v>4</v>
      </c>
      <c r="H46" s="20">
        <v>4</v>
      </c>
      <c r="I46" s="20">
        <v>4</v>
      </c>
      <c r="J46" s="20">
        <v>4</v>
      </c>
      <c r="K46" s="20">
        <v>4</v>
      </c>
      <c r="L46" s="20">
        <v>4</v>
      </c>
      <c r="M46" s="20">
        <v>4</v>
      </c>
      <c r="N46" s="20">
        <v>4</v>
      </c>
      <c r="O46" s="20">
        <v>4</v>
      </c>
      <c r="P46" s="20">
        <v>4</v>
      </c>
      <c r="Q46" s="20">
        <v>4</v>
      </c>
      <c r="R46" s="21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</row>
    <row r="47" spans="1:25" x14ac:dyDescent="0.3">
      <c r="A47" s="46"/>
      <c r="B47" s="46"/>
      <c r="C47" s="45" t="s">
        <v>99</v>
      </c>
      <c r="D47" s="45"/>
      <c r="E47" s="42" t="s">
        <v>222</v>
      </c>
      <c r="F47" s="42"/>
      <c r="G47" s="20">
        <v>2</v>
      </c>
      <c r="H47" s="20">
        <v>2</v>
      </c>
      <c r="I47" s="20">
        <v>2</v>
      </c>
      <c r="J47" s="20">
        <v>2</v>
      </c>
      <c r="K47" s="20">
        <v>2</v>
      </c>
      <c r="L47" s="20">
        <v>2</v>
      </c>
      <c r="M47" s="20">
        <v>2</v>
      </c>
      <c r="N47" s="20">
        <v>2</v>
      </c>
      <c r="O47" s="20">
        <v>2</v>
      </c>
      <c r="P47" s="20">
        <v>2</v>
      </c>
      <c r="Q47" s="20">
        <v>2</v>
      </c>
      <c r="R47" s="20">
        <v>2</v>
      </c>
      <c r="S47" s="21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</row>
    <row r="48" spans="1:25" x14ac:dyDescent="0.3">
      <c r="A48" s="46"/>
      <c r="B48" s="46"/>
      <c r="C48" s="45" t="s">
        <v>100</v>
      </c>
      <c r="D48" s="45"/>
      <c r="E48" s="42" t="s">
        <v>124</v>
      </c>
      <c r="F48" s="42"/>
      <c r="G48" s="20">
        <v>3</v>
      </c>
      <c r="H48" s="20">
        <v>4</v>
      </c>
      <c r="I48" s="20">
        <v>4</v>
      </c>
      <c r="J48" s="20">
        <v>4</v>
      </c>
      <c r="K48" s="20">
        <v>4</v>
      </c>
      <c r="L48" s="20">
        <v>4</v>
      </c>
      <c r="M48" s="20">
        <v>4</v>
      </c>
      <c r="N48" s="20">
        <v>4</v>
      </c>
      <c r="O48" s="20">
        <v>4</v>
      </c>
      <c r="P48" s="20">
        <v>4</v>
      </c>
      <c r="Q48" s="20">
        <v>4</v>
      </c>
      <c r="R48" s="20">
        <v>3</v>
      </c>
      <c r="S48" s="21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</row>
    <row r="49" spans="1:25" x14ac:dyDescent="0.3">
      <c r="A49" s="46"/>
      <c r="B49" s="46"/>
      <c r="C49" s="40"/>
      <c r="D49" s="41"/>
      <c r="E49" s="40"/>
      <c r="F49" s="41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2">
        <v>1</v>
      </c>
      <c r="T49" s="20"/>
      <c r="U49" s="20"/>
      <c r="V49" s="20"/>
      <c r="W49" s="20"/>
      <c r="X49" s="20"/>
      <c r="Y49" s="20"/>
    </row>
    <row r="50" spans="1:25" x14ac:dyDescent="0.3">
      <c r="A50" s="46"/>
      <c r="B50" s="46"/>
      <c r="C50" s="45" t="s">
        <v>22</v>
      </c>
      <c r="D50" s="45"/>
      <c r="E50" s="42" t="s">
        <v>47</v>
      </c>
      <c r="F50" s="42"/>
      <c r="G50" s="20">
        <v>6</v>
      </c>
      <c r="H50" s="20">
        <v>6</v>
      </c>
      <c r="I50" s="20">
        <v>6</v>
      </c>
      <c r="J50" s="20">
        <v>6</v>
      </c>
      <c r="K50" s="20">
        <v>6</v>
      </c>
      <c r="L50" s="20">
        <v>6</v>
      </c>
      <c r="M50" s="20">
        <v>6</v>
      </c>
      <c r="N50" s="20">
        <v>6</v>
      </c>
      <c r="O50" s="20">
        <v>6</v>
      </c>
      <c r="P50" s="20">
        <v>6</v>
      </c>
      <c r="Q50" s="20">
        <v>6</v>
      </c>
      <c r="R50" s="20">
        <v>6</v>
      </c>
      <c r="S50" s="20">
        <v>6</v>
      </c>
      <c r="T50" s="21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</row>
    <row r="51" spans="1:25" x14ac:dyDescent="0.3">
      <c r="A51" s="46"/>
      <c r="B51" s="46" t="s">
        <v>25</v>
      </c>
      <c r="C51" s="45" t="s">
        <v>101</v>
      </c>
      <c r="D51" s="45"/>
      <c r="E51" s="42" t="s">
        <v>122</v>
      </c>
      <c r="F51" s="42"/>
      <c r="G51" s="20">
        <v>1</v>
      </c>
      <c r="H51" s="20">
        <v>1</v>
      </c>
      <c r="I51" s="20">
        <v>1</v>
      </c>
      <c r="J51" s="20">
        <v>1</v>
      </c>
      <c r="K51" s="20">
        <v>1</v>
      </c>
      <c r="L51" s="20">
        <v>1</v>
      </c>
      <c r="M51" s="20">
        <v>1</v>
      </c>
      <c r="N51" s="20">
        <v>1</v>
      </c>
      <c r="O51" s="20">
        <v>1</v>
      </c>
      <c r="P51" s="20">
        <v>1</v>
      </c>
      <c r="Q51" s="20">
        <v>1</v>
      </c>
      <c r="R51" s="20">
        <v>1</v>
      </c>
      <c r="S51" s="20">
        <v>1</v>
      </c>
      <c r="T51" s="20">
        <v>1</v>
      </c>
      <c r="U51" s="21">
        <v>0</v>
      </c>
      <c r="V51" s="20">
        <v>0</v>
      </c>
      <c r="W51" s="20">
        <v>0</v>
      </c>
      <c r="X51" s="20">
        <v>0</v>
      </c>
      <c r="Y51" s="20">
        <v>0</v>
      </c>
    </row>
    <row r="52" spans="1:25" x14ac:dyDescent="0.3">
      <c r="A52" s="46"/>
      <c r="B52" s="46"/>
      <c r="C52" s="45" t="s">
        <v>102</v>
      </c>
      <c r="D52" s="45"/>
      <c r="E52" s="42" t="s">
        <v>123</v>
      </c>
      <c r="F52" s="42"/>
      <c r="G52" s="20">
        <v>1</v>
      </c>
      <c r="H52" s="20">
        <v>1</v>
      </c>
      <c r="I52" s="20">
        <v>1</v>
      </c>
      <c r="J52" s="20">
        <v>1</v>
      </c>
      <c r="K52" s="20">
        <v>1</v>
      </c>
      <c r="L52" s="20">
        <v>1</v>
      </c>
      <c r="M52" s="20">
        <v>1</v>
      </c>
      <c r="N52" s="20">
        <v>1</v>
      </c>
      <c r="O52" s="20">
        <v>1</v>
      </c>
      <c r="P52" s="20">
        <v>1</v>
      </c>
      <c r="Q52" s="20">
        <v>1</v>
      </c>
      <c r="R52" s="20">
        <v>1</v>
      </c>
      <c r="S52" s="20">
        <v>1</v>
      </c>
      <c r="T52" s="20">
        <v>1</v>
      </c>
      <c r="U52" s="21">
        <v>0</v>
      </c>
      <c r="V52" s="20">
        <v>0</v>
      </c>
      <c r="W52" s="20">
        <v>0</v>
      </c>
      <c r="X52" s="20">
        <v>0</v>
      </c>
      <c r="Y52" s="20">
        <v>0</v>
      </c>
    </row>
    <row r="53" spans="1:25" x14ac:dyDescent="0.3">
      <c r="A53" s="46"/>
      <c r="B53" s="46"/>
      <c r="C53" s="45" t="s">
        <v>103</v>
      </c>
      <c r="D53" s="45"/>
      <c r="E53" s="42" t="s">
        <v>128</v>
      </c>
      <c r="F53" s="42"/>
      <c r="G53" s="20">
        <v>1</v>
      </c>
      <c r="H53" s="20">
        <v>1</v>
      </c>
      <c r="I53" s="20">
        <v>1</v>
      </c>
      <c r="J53" s="20">
        <v>1</v>
      </c>
      <c r="K53" s="20">
        <v>1</v>
      </c>
      <c r="L53" s="20">
        <v>1</v>
      </c>
      <c r="M53" s="20">
        <v>1</v>
      </c>
      <c r="N53" s="20">
        <v>1</v>
      </c>
      <c r="O53" s="20">
        <v>1</v>
      </c>
      <c r="P53" s="20">
        <v>1</v>
      </c>
      <c r="Q53" s="20">
        <v>1</v>
      </c>
      <c r="R53" s="20">
        <v>1</v>
      </c>
      <c r="S53" s="20">
        <v>1</v>
      </c>
      <c r="T53" s="20">
        <v>1</v>
      </c>
      <c r="U53" s="21">
        <v>0</v>
      </c>
      <c r="V53" s="20">
        <v>0</v>
      </c>
      <c r="W53" s="20">
        <v>0</v>
      </c>
      <c r="X53" s="20">
        <v>0</v>
      </c>
      <c r="Y53" s="20">
        <v>0</v>
      </c>
    </row>
    <row r="54" spans="1:25" x14ac:dyDescent="0.3">
      <c r="A54" s="46"/>
      <c r="B54" s="46"/>
      <c r="C54" s="45" t="s">
        <v>104</v>
      </c>
      <c r="D54" s="45"/>
      <c r="E54" s="42" t="s">
        <v>85</v>
      </c>
      <c r="F54" s="42"/>
      <c r="G54" s="20">
        <v>1</v>
      </c>
      <c r="H54" s="20">
        <v>1</v>
      </c>
      <c r="I54" s="20">
        <v>1</v>
      </c>
      <c r="J54" s="20">
        <v>1</v>
      </c>
      <c r="K54" s="20">
        <v>1</v>
      </c>
      <c r="L54" s="20">
        <v>1</v>
      </c>
      <c r="M54" s="20">
        <v>1</v>
      </c>
      <c r="N54" s="20">
        <v>1</v>
      </c>
      <c r="O54" s="20">
        <v>1</v>
      </c>
      <c r="P54" s="20">
        <v>1</v>
      </c>
      <c r="Q54" s="20">
        <v>1</v>
      </c>
      <c r="R54" s="20">
        <v>1</v>
      </c>
      <c r="S54" s="20">
        <v>1</v>
      </c>
      <c r="T54" s="20">
        <v>1</v>
      </c>
      <c r="U54" s="21">
        <v>0</v>
      </c>
      <c r="V54" s="20">
        <v>0</v>
      </c>
      <c r="W54" s="20">
        <v>0</v>
      </c>
      <c r="X54" s="20">
        <v>0</v>
      </c>
      <c r="Y54" s="20">
        <v>0</v>
      </c>
    </row>
    <row r="55" spans="1:25" x14ac:dyDescent="0.3">
      <c r="A55" s="46"/>
      <c r="B55" s="46"/>
      <c r="C55" s="45" t="s">
        <v>105</v>
      </c>
      <c r="D55" s="45"/>
      <c r="E55" s="42" t="s">
        <v>124</v>
      </c>
      <c r="F55" s="42"/>
      <c r="G55" s="20">
        <v>1</v>
      </c>
      <c r="H55" s="20">
        <v>1</v>
      </c>
      <c r="I55" s="20">
        <v>1</v>
      </c>
      <c r="J55" s="20">
        <v>1</v>
      </c>
      <c r="K55" s="20">
        <v>1</v>
      </c>
      <c r="L55" s="20">
        <v>1</v>
      </c>
      <c r="M55" s="20">
        <v>1</v>
      </c>
      <c r="N55" s="20">
        <v>1</v>
      </c>
      <c r="O55" s="20">
        <v>1</v>
      </c>
      <c r="P55" s="20">
        <v>1</v>
      </c>
      <c r="Q55" s="20">
        <v>1</v>
      </c>
      <c r="R55" s="20">
        <v>1</v>
      </c>
      <c r="S55" s="20">
        <v>1</v>
      </c>
      <c r="T55" s="20">
        <v>1</v>
      </c>
      <c r="U55" s="21">
        <v>0</v>
      </c>
      <c r="V55" s="20">
        <v>0</v>
      </c>
      <c r="W55" s="20">
        <v>0</v>
      </c>
      <c r="X55" s="20">
        <v>0</v>
      </c>
      <c r="Y55" s="20">
        <v>0</v>
      </c>
    </row>
    <row r="56" spans="1:25" x14ac:dyDescent="0.3">
      <c r="A56" s="46"/>
      <c r="B56" s="46" t="s">
        <v>27</v>
      </c>
      <c r="C56" s="45" t="s">
        <v>106</v>
      </c>
      <c r="D56" s="45"/>
      <c r="E56" s="42" t="s">
        <v>222</v>
      </c>
      <c r="F56" s="42"/>
      <c r="G56" s="20">
        <v>4</v>
      </c>
      <c r="H56" s="20">
        <v>3</v>
      </c>
      <c r="I56" s="20">
        <v>3</v>
      </c>
      <c r="J56" s="20">
        <v>3</v>
      </c>
      <c r="K56" s="20">
        <v>3</v>
      </c>
      <c r="L56" s="20">
        <v>3</v>
      </c>
      <c r="M56" s="20">
        <v>3</v>
      </c>
      <c r="N56" s="20">
        <v>3</v>
      </c>
      <c r="O56" s="20">
        <v>3</v>
      </c>
      <c r="P56" s="20">
        <v>3</v>
      </c>
      <c r="Q56" s="20">
        <v>3</v>
      </c>
      <c r="R56" s="20">
        <v>3</v>
      </c>
      <c r="S56" s="20">
        <v>3</v>
      </c>
      <c r="T56" s="20">
        <v>3</v>
      </c>
      <c r="U56" s="20">
        <v>3</v>
      </c>
      <c r="V56" s="21">
        <v>0</v>
      </c>
      <c r="W56" s="20">
        <v>0</v>
      </c>
      <c r="X56" s="20">
        <v>0</v>
      </c>
      <c r="Y56" s="20">
        <v>0</v>
      </c>
    </row>
    <row r="57" spans="1:25" x14ac:dyDescent="0.3">
      <c r="A57" s="46"/>
      <c r="B57" s="46"/>
      <c r="C57" s="40"/>
      <c r="D57" s="41"/>
      <c r="E57" s="40"/>
      <c r="F57" s="41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3">
        <v>1</v>
      </c>
      <c r="W57" s="20"/>
      <c r="X57" s="20"/>
      <c r="Y57" s="20"/>
    </row>
    <row r="58" spans="1:25" x14ac:dyDescent="0.3">
      <c r="A58" s="46"/>
      <c r="B58" s="46"/>
      <c r="C58" s="45" t="s">
        <v>107</v>
      </c>
      <c r="D58" s="45"/>
      <c r="E58" s="42" t="s">
        <v>218</v>
      </c>
      <c r="F58" s="42"/>
      <c r="G58" s="20">
        <v>4</v>
      </c>
      <c r="H58" s="20">
        <v>3</v>
      </c>
      <c r="I58" s="20">
        <v>3</v>
      </c>
      <c r="J58" s="20">
        <v>3</v>
      </c>
      <c r="K58" s="20">
        <v>3</v>
      </c>
      <c r="L58" s="20">
        <v>3</v>
      </c>
      <c r="M58" s="20">
        <v>3</v>
      </c>
      <c r="N58" s="20">
        <v>3</v>
      </c>
      <c r="O58" s="20">
        <v>3</v>
      </c>
      <c r="P58" s="20">
        <v>3</v>
      </c>
      <c r="Q58" s="20">
        <v>3</v>
      </c>
      <c r="R58" s="20">
        <v>3</v>
      </c>
      <c r="S58" s="20">
        <v>3</v>
      </c>
      <c r="T58" s="20">
        <v>3</v>
      </c>
      <c r="U58" s="20">
        <v>3</v>
      </c>
      <c r="V58" s="21">
        <v>0</v>
      </c>
      <c r="W58" s="20">
        <v>0</v>
      </c>
      <c r="X58" s="20">
        <v>0</v>
      </c>
      <c r="Y58" s="20">
        <v>0</v>
      </c>
    </row>
    <row r="59" spans="1:25" x14ac:dyDescent="0.3">
      <c r="A59" s="46"/>
      <c r="B59" s="46"/>
      <c r="C59" s="40"/>
      <c r="D59" s="41"/>
      <c r="E59" s="40"/>
      <c r="F59" s="41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3">
        <v>1</v>
      </c>
      <c r="W59" s="20"/>
      <c r="X59" s="20"/>
      <c r="Y59" s="20"/>
    </row>
    <row r="60" spans="1:25" x14ac:dyDescent="0.3">
      <c r="A60" s="46"/>
      <c r="B60" s="46"/>
      <c r="C60" s="45" t="s">
        <v>108</v>
      </c>
      <c r="D60" s="45"/>
      <c r="E60" s="42" t="s">
        <v>124</v>
      </c>
      <c r="F60" s="42"/>
      <c r="G60" s="20">
        <v>2</v>
      </c>
      <c r="H60" s="20">
        <v>2</v>
      </c>
      <c r="I60" s="20">
        <v>2</v>
      </c>
      <c r="J60" s="20">
        <v>2</v>
      </c>
      <c r="K60" s="20">
        <v>2</v>
      </c>
      <c r="L60" s="20">
        <v>2</v>
      </c>
      <c r="M60" s="20">
        <v>2</v>
      </c>
      <c r="N60" s="20">
        <v>2</v>
      </c>
      <c r="O60" s="20">
        <v>2</v>
      </c>
      <c r="P60" s="20">
        <v>2</v>
      </c>
      <c r="Q60" s="20">
        <v>2</v>
      </c>
      <c r="R60" s="20">
        <v>2</v>
      </c>
      <c r="S60" s="20">
        <v>2</v>
      </c>
      <c r="T60" s="20">
        <v>2</v>
      </c>
      <c r="U60" s="20">
        <v>2</v>
      </c>
      <c r="V60" s="21">
        <v>0</v>
      </c>
      <c r="W60" s="20">
        <v>0</v>
      </c>
      <c r="X60" s="20">
        <v>0</v>
      </c>
      <c r="Y60" s="20">
        <v>0</v>
      </c>
    </row>
    <row r="61" spans="1:25" x14ac:dyDescent="0.3">
      <c r="A61" s="46"/>
      <c r="B61" s="46"/>
      <c r="C61" s="45" t="s">
        <v>109</v>
      </c>
      <c r="D61" s="45"/>
      <c r="E61" s="42" t="s">
        <v>222</v>
      </c>
      <c r="F61" s="42"/>
      <c r="G61" s="20">
        <v>3</v>
      </c>
      <c r="H61" s="20">
        <v>3</v>
      </c>
      <c r="I61" s="20">
        <v>3</v>
      </c>
      <c r="J61" s="20">
        <v>3</v>
      </c>
      <c r="K61" s="20">
        <v>3</v>
      </c>
      <c r="L61" s="20">
        <v>3</v>
      </c>
      <c r="M61" s="20">
        <v>3</v>
      </c>
      <c r="N61" s="20">
        <v>3</v>
      </c>
      <c r="O61" s="20">
        <v>3</v>
      </c>
      <c r="P61" s="20">
        <v>3</v>
      </c>
      <c r="Q61" s="20">
        <v>3</v>
      </c>
      <c r="R61" s="20">
        <v>3</v>
      </c>
      <c r="S61" s="20">
        <v>3</v>
      </c>
      <c r="T61" s="20">
        <v>3</v>
      </c>
      <c r="U61" s="20">
        <v>3</v>
      </c>
      <c r="V61" s="20">
        <v>3</v>
      </c>
      <c r="W61" s="21">
        <v>0</v>
      </c>
      <c r="X61" s="20">
        <v>0</v>
      </c>
      <c r="Y61" s="20">
        <v>0</v>
      </c>
    </row>
    <row r="62" spans="1:25" x14ac:dyDescent="0.3">
      <c r="A62" s="46"/>
      <c r="B62" s="46"/>
      <c r="C62" s="43" t="s">
        <v>110</v>
      </c>
      <c r="D62" s="44"/>
      <c r="E62" s="42" t="s">
        <v>218</v>
      </c>
      <c r="F62" s="42"/>
      <c r="G62" s="20">
        <v>3</v>
      </c>
      <c r="H62" s="20">
        <v>3</v>
      </c>
      <c r="I62" s="20">
        <v>3</v>
      </c>
      <c r="J62" s="20">
        <v>3</v>
      </c>
      <c r="K62" s="20">
        <v>3</v>
      </c>
      <c r="L62" s="20">
        <v>3</v>
      </c>
      <c r="M62" s="20">
        <v>3</v>
      </c>
      <c r="N62" s="20">
        <v>3</v>
      </c>
      <c r="O62" s="20">
        <v>3</v>
      </c>
      <c r="P62" s="20">
        <v>3</v>
      </c>
      <c r="Q62" s="20">
        <v>3</v>
      </c>
      <c r="R62" s="20">
        <v>3</v>
      </c>
      <c r="S62" s="20">
        <v>3</v>
      </c>
      <c r="T62" s="20">
        <v>3</v>
      </c>
      <c r="U62" s="20">
        <v>3</v>
      </c>
      <c r="V62" s="20">
        <v>3</v>
      </c>
      <c r="W62" s="21">
        <v>0</v>
      </c>
      <c r="X62" s="20">
        <v>0</v>
      </c>
      <c r="Y62" s="20">
        <v>0</v>
      </c>
    </row>
    <row r="63" spans="1:25" x14ac:dyDescent="0.3">
      <c r="A63" s="46"/>
      <c r="B63" s="46" t="s">
        <v>36</v>
      </c>
      <c r="C63" s="45" t="s">
        <v>111</v>
      </c>
      <c r="D63" s="45"/>
      <c r="E63" s="63" t="s">
        <v>124</v>
      </c>
      <c r="F63" s="63"/>
      <c r="G63" s="20">
        <v>1</v>
      </c>
      <c r="H63" s="20">
        <v>1</v>
      </c>
      <c r="I63" s="20">
        <v>1</v>
      </c>
      <c r="J63" s="20">
        <v>1</v>
      </c>
      <c r="K63" s="20">
        <v>1</v>
      </c>
      <c r="L63" s="20">
        <v>1</v>
      </c>
      <c r="M63" s="20">
        <v>1</v>
      </c>
      <c r="N63" s="20">
        <v>1</v>
      </c>
      <c r="O63" s="20">
        <v>1</v>
      </c>
      <c r="P63" s="20">
        <v>1</v>
      </c>
      <c r="Q63" s="20">
        <v>1</v>
      </c>
      <c r="R63" s="20">
        <v>1</v>
      </c>
      <c r="S63" s="20">
        <v>1</v>
      </c>
      <c r="T63" s="20">
        <v>1</v>
      </c>
      <c r="U63" s="20">
        <v>1</v>
      </c>
      <c r="V63" s="20">
        <v>1</v>
      </c>
      <c r="W63" s="20">
        <v>1</v>
      </c>
      <c r="X63" s="21">
        <v>0</v>
      </c>
      <c r="Y63" s="20">
        <v>0</v>
      </c>
    </row>
    <row r="64" spans="1:25" x14ac:dyDescent="0.3">
      <c r="A64" s="46"/>
      <c r="B64" s="46"/>
      <c r="C64" s="45" t="s">
        <v>112</v>
      </c>
      <c r="D64" s="45"/>
      <c r="E64" s="63" t="s">
        <v>122</v>
      </c>
      <c r="F64" s="63"/>
      <c r="G64" s="20">
        <v>1</v>
      </c>
      <c r="H64" s="20">
        <v>1</v>
      </c>
      <c r="I64" s="20">
        <v>1</v>
      </c>
      <c r="J64" s="20">
        <v>1</v>
      </c>
      <c r="K64" s="20">
        <v>1</v>
      </c>
      <c r="L64" s="20">
        <v>1</v>
      </c>
      <c r="M64" s="20">
        <v>1</v>
      </c>
      <c r="N64" s="20">
        <v>1</v>
      </c>
      <c r="O64" s="20">
        <v>1</v>
      </c>
      <c r="P64" s="20">
        <v>1</v>
      </c>
      <c r="Q64" s="20">
        <v>1</v>
      </c>
      <c r="R64" s="20">
        <v>1</v>
      </c>
      <c r="S64" s="20">
        <v>1</v>
      </c>
      <c r="T64" s="20">
        <v>1</v>
      </c>
      <c r="U64" s="20">
        <v>1</v>
      </c>
      <c r="V64" s="20">
        <v>1</v>
      </c>
      <c r="W64" s="20">
        <v>1</v>
      </c>
      <c r="X64" s="21">
        <v>0</v>
      </c>
      <c r="Y64" s="20">
        <v>0</v>
      </c>
    </row>
    <row r="65" spans="1:25" x14ac:dyDescent="0.3">
      <c r="A65" s="46"/>
      <c r="B65" s="46"/>
      <c r="C65" s="45" t="s">
        <v>113</v>
      </c>
      <c r="D65" s="45"/>
      <c r="E65" s="63" t="s">
        <v>123</v>
      </c>
      <c r="F65" s="63"/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20">
        <v>1</v>
      </c>
      <c r="Q65" s="20">
        <v>1</v>
      </c>
      <c r="R65" s="20">
        <v>1</v>
      </c>
      <c r="S65" s="20">
        <v>1</v>
      </c>
      <c r="T65" s="20">
        <v>1</v>
      </c>
      <c r="U65" s="20">
        <v>1</v>
      </c>
      <c r="V65" s="20">
        <v>1</v>
      </c>
      <c r="W65" s="20">
        <v>1</v>
      </c>
      <c r="X65" s="21">
        <v>0</v>
      </c>
      <c r="Y65" s="20">
        <v>0</v>
      </c>
    </row>
    <row r="66" spans="1:25" x14ac:dyDescent="0.3">
      <c r="A66" s="46"/>
      <c r="B66" s="46"/>
      <c r="C66" s="45" t="s">
        <v>114</v>
      </c>
      <c r="D66" s="45"/>
      <c r="E66" s="63" t="s">
        <v>128</v>
      </c>
      <c r="F66" s="63"/>
      <c r="G66" s="20">
        <v>1</v>
      </c>
      <c r="H66" s="20">
        <v>1</v>
      </c>
      <c r="I66" s="20">
        <v>1</v>
      </c>
      <c r="J66" s="20">
        <v>1</v>
      </c>
      <c r="K66" s="20">
        <v>1</v>
      </c>
      <c r="L66" s="20">
        <v>1</v>
      </c>
      <c r="M66" s="20">
        <v>1</v>
      </c>
      <c r="N66" s="20">
        <v>1</v>
      </c>
      <c r="O66" s="20">
        <v>1</v>
      </c>
      <c r="P66" s="20">
        <v>1</v>
      </c>
      <c r="Q66" s="20">
        <v>1</v>
      </c>
      <c r="R66" s="20">
        <v>1</v>
      </c>
      <c r="S66" s="20">
        <v>1</v>
      </c>
      <c r="T66" s="20">
        <v>1</v>
      </c>
      <c r="U66" s="20">
        <v>1</v>
      </c>
      <c r="V66" s="20">
        <v>1</v>
      </c>
      <c r="W66" s="20">
        <v>1</v>
      </c>
      <c r="X66" s="21">
        <v>0</v>
      </c>
      <c r="Y66" s="20">
        <v>0</v>
      </c>
    </row>
    <row r="67" spans="1:25" x14ac:dyDescent="0.3">
      <c r="A67" s="46"/>
      <c r="B67" s="46"/>
      <c r="C67" s="45" t="s">
        <v>115</v>
      </c>
      <c r="D67" s="45"/>
      <c r="E67" s="63" t="s">
        <v>85</v>
      </c>
      <c r="F67" s="63"/>
      <c r="G67" s="20">
        <v>2</v>
      </c>
      <c r="H67" s="20">
        <v>2</v>
      </c>
      <c r="I67" s="20">
        <v>2</v>
      </c>
      <c r="J67" s="20">
        <v>2</v>
      </c>
      <c r="K67" s="20">
        <v>2</v>
      </c>
      <c r="L67" s="20">
        <v>2</v>
      </c>
      <c r="M67" s="20">
        <v>2</v>
      </c>
      <c r="N67" s="20">
        <v>2</v>
      </c>
      <c r="O67" s="20">
        <v>2</v>
      </c>
      <c r="P67" s="20">
        <v>2</v>
      </c>
      <c r="Q67" s="20">
        <v>2</v>
      </c>
      <c r="R67" s="20">
        <v>2</v>
      </c>
      <c r="S67" s="20">
        <v>2</v>
      </c>
      <c r="T67" s="20">
        <v>2</v>
      </c>
      <c r="U67" s="20">
        <v>2</v>
      </c>
      <c r="V67" s="20">
        <v>2</v>
      </c>
      <c r="W67" s="20">
        <v>2</v>
      </c>
      <c r="X67" s="21">
        <v>0</v>
      </c>
      <c r="Y67" s="20">
        <v>0</v>
      </c>
    </row>
    <row r="68" spans="1:25" x14ac:dyDescent="0.3">
      <c r="A68" s="46"/>
      <c r="B68" s="46" t="s">
        <v>30</v>
      </c>
      <c r="C68" s="45" t="s">
        <v>28</v>
      </c>
      <c r="D68" s="45"/>
      <c r="E68" s="63" t="s">
        <v>47</v>
      </c>
      <c r="F68" s="63"/>
      <c r="G68" s="20">
        <v>4</v>
      </c>
      <c r="H68" s="20">
        <v>5</v>
      </c>
      <c r="I68" s="20">
        <v>5</v>
      </c>
      <c r="J68" s="20">
        <v>5</v>
      </c>
      <c r="K68" s="20">
        <v>5</v>
      </c>
      <c r="L68" s="20">
        <v>5</v>
      </c>
      <c r="M68" s="20">
        <v>5</v>
      </c>
      <c r="N68" s="20">
        <v>5</v>
      </c>
      <c r="O68" s="20">
        <v>5</v>
      </c>
      <c r="P68" s="20">
        <v>5</v>
      </c>
      <c r="Q68" s="20">
        <v>5</v>
      </c>
      <c r="R68" s="20">
        <v>5</v>
      </c>
      <c r="S68" s="20">
        <v>5</v>
      </c>
      <c r="T68" s="20">
        <v>5</v>
      </c>
      <c r="U68" s="20">
        <v>5</v>
      </c>
      <c r="V68" s="20">
        <v>5</v>
      </c>
      <c r="W68" s="20">
        <v>5</v>
      </c>
      <c r="X68" s="20">
        <v>4</v>
      </c>
      <c r="Y68" s="20">
        <v>0</v>
      </c>
    </row>
    <row r="69" spans="1:25" x14ac:dyDescent="0.3">
      <c r="A69" s="46"/>
      <c r="B69" s="46"/>
      <c r="C69" s="40"/>
      <c r="D69" s="41"/>
      <c r="E69" s="49"/>
      <c r="F69" s="5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2">
        <v>1</v>
      </c>
    </row>
    <row r="70" spans="1:25" x14ac:dyDescent="0.3">
      <c r="A70" s="46"/>
      <c r="B70" s="46"/>
      <c r="C70" s="45" t="s">
        <v>29</v>
      </c>
      <c r="D70" s="45"/>
      <c r="E70" s="63" t="s">
        <v>47</v>
      </c>
      <c r="F70" s="63"/>
      <c r="G70" s="20">
        <v>4</v>
      </c>
      <c r="H70" s="20">
        <v>5</v>
      </c>
      <c r="I70" s="20">
        <v>5</v>
      </c>
      <c r="J70" s="20">
        <v>5</v>
      </c>
      <c r="K70" s="20">
        <v>5</v>
      </c>
      <c r="L70" s="20">
        <v>5</v>
      </c>
      <c r="M70" s="20">
        <v>5</v>
      </c>
      <c r="N70" s="20">
        <v>5</v>
      </c>
      <c r="O70" s="20">
        <v>5</v>
      </c>
      <c r="P70" s="20">
        <v>5</v>
      </c>
      <c r="Q70" s="20">
        <v>5</v>
      </c>
      <c r="R70" s="20">
        <v>5</v>
      </c>
      <c r="S70" s="20">
        <v>5</v>
      </c>
      <c r="T70" s="20">
        <v>5</v>
      </c>
      <c r="U70" s="20">
        <v>5</v>
      </c>
      <c r="V70" s="20">
        <v>5</v>
      </c>
      <c r="W70" s="20">
        <v>5</v>
      </c>
      <c r="X70" s="20">
        <v>4</v>
      </c>
      <c r="Y70" s="20">
        <v>0</v>
      </c>
    </row>
    <row r="71" spans="1:25" x14ac:dyDescent="0.3">
      <c r="A71" s="46"/>
      <c r="B71" s="46"/>
      <c r="C71" s="40"/>
      <c r="D71" s="41"/>
      <c r="E71" s="40"/>
      <c r="F71" s="41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2">
        <v>1</v>
      </c>
    </row>
    <row r="72" spans="1:25" x14ac:dyDescent="0.3">
      <c r="A72" s="46"/>
      <c r="B72" s="62" t="s">
        <v>12</v>
      </c>
      <c r="C72" s="62"/>
      <c r="D72" s="62"/>
      <c r="E72" s="57" t="s">
        <v>11</v>
      </c>
      <c r="F72" s="57"/>
      <c r="G72" s="57">
        <f>SUM(G16:G71)</f>
        <v>116</v>
      </c>
      <c r="H72" s="57"/>
      <c r="I72" s="20">
        <f>SUM(I16:I71)</f>
        <v>114</v>
      </c>
      <c r="J72" s="20">
        <f>SUM(J16:J71)</f>
        <v>110</v>
      </c>
      <c r="K72" s="20">
        <f>SUM(K16:K71)</f>
        <v>103</v>
      </c>
      <c r="L72" s="20">
        <f>SUM(L16:L71)</f>
        <v>100</v>
      </c>
      <c r="M72" s="20">
        <f>SUM(M16:M71)</f>
        <v>91</v>
      </c>
      <c r="N72" s="20">
        <f>SUM(N16:N70)</f>
        <v>81</v>
      </c>
      <c r="O72" s="20">
        <f>SUM(O16:O71)</f>
        <v>75</v>
      </c>
      <c r="P72" s="20">
        <f>SUM(P16:P70)</f>
        <v>67</v>
      </c>
      <c r="Q72" s="20">
        <f>SUM(Q16:Q71)</f>
        <v>57</v>
      </c>
      <c r="R72" s="20">
        <f>SUM(R16:R71)</f>
        <v>48</v>
      </c>
      <c r="S72" s="20">
        <f>SUM(S16:S70)</f>
        <v>42</v>
      </c>
      <c r="T72" s="20">
        <f t="shared" ref="T72:Y72" si="0">SUM(T16:T71)</f>
        <v>35</v>
      </c>
      <c r="U72" s="20">
        <f t="shared" si="0"/>
        <v>30</v>
      </c>
      <c r="V72" s="20">
        <f t="shared" si="0"/>
        <v>24</v>
      </c>
      <c r="W72" s="20">
        <f t="shared" si="0"/>
        <v>16</v>
      </c>
      <c r="X72" s="20">
        <f t="shared" si="0"/>
        <v>8</v>
      </c>
      <c r="Y72" s="20">
        <f t="shared" si="0"/>
        <v>2</v>
      </c>
    </row>
    <row r="73" spans="1:25" x14ac:dyDescent="0.3">
      <c r="A73" s="46"/>
      <c r="B73" s="62"/>
      <c r="C73" s="62"/>
      <c r="D73" s="62"/>
      <c r="E73" s="57" t="s">
        <v>48</v>
      </c>
      <c r="F73" s="57"/>
      <c r="G73" s="57">
        <f>SUM(H16:H71)</f>
        <v>117</v>
      </c>
      <c r="H73" s="57"/>
      <c r="I73" s="20">
        <f>SUM(I16:I71)+J17</f>
        <v>117</v>
      </c>
      <c r="J73" s="20">
        <f>SUM(J16:J71)-J17</f>
        <v>107</v>
      </c>
      <c r="K73" s="20">
        <f>SUM(K16:K71)</f>
        <v>103</v>
      </c>
      <c r="L73" s="20">
        <f>SUM(L16:L71)+M23</f>
        <v>101</v>
      </c>
      <c r="M73" s="20">
        <f>SUM(M16:M71)-M23-M25+N28</f>
        <v>90</v>
      </c>
      <c r="N73" s="20">
        <f>SUM(N16:N71)-N28</f>
        <v>80</v>
      </c>
      <c r="O73" s="20">
        <f>SUM(O16:O71)+P36</f>
        <v>76</v>
      </c>
      <c r="P73" s="20">
        <f>SUM(P16:P71)-P36-P38</f>
        <v>65</v>
      </c>
      <c r="Q73" s="20">
        <f>SUM(Q16:Q71)-Q40</f>
        <v>55</v>
      </c>
      <c r="R73" s="20">
        <f>SUM(R16:R71)-R45+S49</f>
        <v>47</v>
      </c>
      <c r="S73" s="20">
        <f>SUM(S16:S71)-S49</f>
        <v>41</v>
      </c>
      <c r="T73" s="20">
        <f>SUM(T16:T71)</f>
        <v>35</v>
      </c>
      <c r="U73" s="20">
        <f>SUM(U16:U71)</f>
        <v>30</v>
      </c>
      <c r="V73" s="20">
        <f>SUM(V16:V71)-V57-V59</f>
        <v>22</v>
      </c>
      <c r="W73" s="20">
        <f>SUM(W16:W71)</f>
        <v>16</v>
      </c>
      <c r="X73" s="20">
        <f>SUM(X16:X71)+Y69+Y71</f>
        <v>10</v>
      </c>
      <c r="Y73" s="20">
        <f>SUM(Y16:Y71)-Y69-Y71</f>
        <v>0</v>
      </c>
    </row>
  </sheetData>
  <mergeCells count="133">
    <mergeCell ref="C69:D69"/>
    <mergeCell ref="E69:F69"/>
    <mergeCell ref="C71:D71"/>
    <mergeCell ref="E71:F71"/>
    <mergeCell ref="C70:D70"/>
    <mergeCell ref="B51:B55"/>
    <mergeCell ref="A16:A73"/>
    <mergeCell ref="E68:F68"/>
    <mergeCell ref="E70:F70"/>
    <mergeCell ref="E72:F72"/>
    <mergeCell ref="E73:F73"/>
    <mergeCell ref="E63:F63"/>
    <mergeCell ref="E64:F64"/>
    <mergeCell ref="E65:F65"/>
    <mergeCell ref="E66:F66"/>
    <mergeCell ref="E67:F67"/>
    <mergeCell ref="E61:F61"/>
    <mergeCell ref="E35:F35"/>
    <mergeCell ref="E39:F39"/>
    <mergeCell ref="E40:F40"/>
    <mergeCell ref="E41:F41"/>
    <mergeCell ref="E51:F51"/>
    <mergeCell ref="C25:D25"/>
    <mergeCell ref="E25:F25"/>
    <mergeCell ref="C36:D36"/>
    <mergeCell ref="E36:F36"/>
    <mergeCell ref="C38:D38"/>
    <mergeCell ref="E28:F28"/>
    <mergeCell ref="E29:F29"/>
    <mergeCell ref="B29:B34"/>
    <mergeCell ref="C23:D23"/>
    <mergeCell ref="E23:F23"/>
    <mergeCell ref="E48:F48"/>
    <mergeCell ref="E44:F44"/>
    <mergeCell ref="E30:F30"/>
    <mergeCell ref="E32:F32"/>
    <mergeCell ref="E33:F33"/>
    <mergeCell ref="C34:D34"/>
    <mergeCell ref="C35:D35"/>
    <mergeCell ref="C37:D37"/>
    <mergeCell ref="C30:D30"/>
    <mergeCell ref="C31:D31"/>
    <mergeCell ref="C32:D32"/>
    <mergeCell ref="C33:D33"/>
    <mergeCell ref="E37:F37"/>
    <mergeCell ref="C61:D61"/>
    <mergeCell ref="C60:D60"/>
    <mergeCell ref="C55:D55"/>
    <mergeCell ref="C56:D56"/>
    <mergeCell ref="C58:D58"/>
    <mergeCell ref="E38:F38"/>
    <mergeCell ref="C45:D45"/>
    <mergeCell ref="E45:F45"/>
    <mergeCell ref="C49:D49"/>
    <mergeCell ref="E49:F49"/>
    <mergeCell ref="C57:D57"/>
    <mergeCell ref="E57:F57"/>
    <mergeCell ref="E59:F59"/>
    <mergeCell ref="C59:D59"/>
    <mergeCell ref="E46:F46"/>
    <mergeCell ref="E42:F42"/>
    <mergeCell ref="A1:B1"/>
    <mergeCell ref="A2:B2"/>
    <mergeCell ref="A3:B3"/>
    <mergeCell ref="A4:B4"/>
    <mergeCell ref="C20:D20"/>
    <mergeCell ref="B17:D17"/>
    <mergeCell ref="E17:F17"/>
    <mergeCell ref="E50:F50"/>
    <mergeCell ref="B72:D73"/>
    <mergeCell ref="B63:B67"/>
    <mergeCell ref="B68:B71"/>
    <mergeCell ref="C52:D52"/>
    <mergeCell ref="C53:D53"/>
    <mergeCell ref="C54:D54"/>
    <mergeCell ref="E16:F16"/>
    <mergeCell ref="E18:F18"/>
    <mergeCell ref="E19:F19"/>
    <mergeCell ref="E20:F20"/>
    <mergeCell ref="E21:F21"/>
    <mergeCell ref="E22:F22"/>
    <mergeCell ref="E24:F24"/>
    <mergeCell ref="E26:F26"/>
    <mergeCell ref="E34:F34"/>
    <mergeCell ref="E27:F27"/>
    <mergeCell ref="G72:H72"/>
    <mergeCell ref="B56:B62"/>
    <mergeCell ref="B6:E6"/>
    <mergeCell ref="B13:C13"/>
    <mergeCell ref="C15:D15"/>
    <mergeCell ref="E15:F15"/>
    <mergeCell ref="B16:D16"/>
    <mergeCell ref="B18:D18"/>
    <mergeCell ref="C21:D21"/>
    <mergeCell ref="C22:D22"/>
    <mergeCell ref="C24:D24"/>
    <mergeCell ref="C26:D26"/>
    <mergeCell ref="C27:D27"/>
    <mergeCell ref="C28:D28"/>
    <mergeCell ref="C29:D29"/>
    <mergeCell ref="E31:F31"/>
    <mergeCell ref="E52:F52"/>
    <mergeCell ref="B19:D19"/>
    <mergeCell ref="B20:B28"/>
    <mergeCell ref="C62:D62"/>
    <mergeCell ref="E62:F62"/>
    <mergeCell ref="C47:D47"/>
    <mergeCell ref="C48:D48"/>
    <mergeCell ref="E47:F47"/>
    <mergeCell ref="G73:H73"/>
    <mergeCell ref="B35:B50"/>
    <mergeCell ref="C68:D68"/>
    <mergeCell ref="C67:D67"/>
    <mergeCell ref="C66:D66"/>
    <mergeCell ref="C65:D65"/>
    <mergeCell ref="C64:D64"/>
    <mergeCell ref="C63:D63"/>
    <mergeCell ref="C43:D43"/>
    <mergeCell ref="C44:D44"/>
    <mergeCell ref="C39:D39"/>
    <mergeCell ref="C41:D41"/>
    <mergeCell ref="C40:D40"/>
    <mergeCell ref="C50:D50"/>
    <mergeCell ref="C51:D51"/>
    <mergeCell ref="C46:D46"/>
    <mergeCell ref="C42:D42"/>
    <mergeCell ref="E53:F53"/>
    <mergeCell ref="E54:F54"/>
    <mergeCell ref="E60:F60"/>
    <mergeCell ref="E56:F56"/>
    <mergeCell ref="E55:F55"/>
    <mergeCell ref="E58:F58"/>
    <mergeCell ref="E43:F43"/>
  </mergeCells>
  <pageMargins left="0.7" right="0.7" top="0.75" bottom="0.75" header="0.3" footer="0.3"/>
  <pageSetup orientation="portrait" horizontalDpi="1200" verticalDpi="1200" r:id="rId1"/>
  <ignoredErrors>
    <ignoredError sqref="I72:I73 K72:K73 J72:J73 L72:M72 O72 R73 S72 T73:U73 L73:O73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30"/>
  <sheetViews>
    <sheetView topLeftCell="B13" zoomScale="70" zoomScaleNormal="70" workbookViewId="0">
      <pane ySplit="1" topLeftCell="A57" activePane="bottomLeft" state="frozen"/>
      <selection activeCell="A13" sqref="A13"/>
      <selection pane="bottomLeft" activeCell="V97" sqref="V97"/>
    </sheetView>
  </sheetViews>
  <sheetFormatPr defaultRowHeight="14.4" x14ac:dyDescent="0.3"/>
  <cols>
    <col min="1" max="1" width="13.5546875" customWidth="1"/>
    <col min="2" max="2" width="21.109375" customWidth="1"/>
    <col min="3" max="3" width="127.77734375" customWidth="1"/>
    <col min="4" max="4" width="15.33203125" customWidth="1"/>
    <col min="5" max="5" width="10.33203125" customWidth="1"/>
    <col min="6" max="6" width="20.109375" customWidth="1"/>
    <col min="7" max="8" width="6.109375" customWidth="1"/>
    <col min="9" max="19" width="6" customWidth="1"/>
    <col min="20" max="20" width="6.109375" customWidth="1"/>
    <col min="21" max="26" width="6" customWidth="1"/>
    <col min="27" max="27" width="5.21875" customWidth="1"/>
    <col min="28" max="28" width="5.44140625" customWidth="1"/>
    <col min="29" max="29" width="6.109375" customWidth="1"/>
  </cols>
  <sheetData>
    <row r="1" spans="1:53" ht="17.399999999999999" thickBot="1" x14ac:dyDescent="0.35">
      <c r="A1" s="54" t="s">
        <v>3</v>
      </c>
      <c r="B1" s="54"/>
      <c r="C1" s="5" t="s">
        <v>121</v>
      </c>
      <c r="D1" s="1"/>
      <c r="E1" s="11"/>
      <c r="F1" s="12" t="s">
        <v>55</v>
      </c>
    </row>
    <row r="2" spans="1:53" ht="17.399999999999999" thickBot="1" x14ac:dyDescent="0.35">
      <c r="A2" s="54" t="s">
        <v>2</v>
      </c>
      <c r="B2" s="54"/>
      <c r="C2" s="3" t="s">
        <v>31</v>
      </c>
      <c r="D2" s="1"/>
      <c r="E2" s="14"/>
      <c r="F2" s="13" t="s">
        <v>53</v>
      </c>
    </row>
    <row r="3" spans="1:53" ht="17.399999999999999" thickBot="1" x14ac:dyDescent="0.35">
      <c r="A3" s="54" t="s">
        <v>1</v>
      </c>
      <c r="B3" s="54"/>
      <c r="C3" s="4">
        <v>46120</v>
      </c>
      <c r="D3" s="1"/>
      <c r="E3" s="15"/>
      <c r="F3" s="16" t="s">
        <v>52</v>
      </c>
    </row>
    <row r="4" spans="1:53" ht="17.399999999999999" thickBot="1" x14ac:dyDescent="0.35">
      <c r="A4" s="1"/>
      <c r="B4" s="55" t="s">
        <v>34</v>
      </c>
      <c r="C4" s="55"/>
      <c r="D4" s="55"/>
      <c r="E4" s="56"/>
    </row>
    <row r="5" spans="1:53" ht="17.399999999999999" thickBot="1" x14ac:dyDescent="0.35">
      <c r="A5" s="1"/>
      <c r="B5" s="7" t="s">
        <v>6</v>
      </c>
      <c r="C5" s="7" t="s">
        <v>49</v>
      </c>
      <c r="D5" s="7" t="s">
        <v>11</v>
      </c>
      <c r="E5" s="7" t="s">
        <v>48</v>
      </c>
    </row>
    <row r="6" spans="1:53" ht="17.399999999999999" thickBot="1" x14ac:dyDescent="0.35">
      <c r="A6" s="1"/>
      <c r="B6" s="9">
        <v>1</v>
      </c>
      <c r="C6" s="3" t="s">
        <v>116</v>
      </c>
      <c r="D6" s="3">
        <f ca="1">SUMIF($E$14:$F$107,"Trường",$G$14:$G$107)+SUMIF($E$14:$F$107,"All team",$G$14:$G$107)/5</f>
        <v>39.200000000000003</v>
      </c>
      <c r="E6" s="3">
        <f ca="1">SUMIF($E$14:$F$107,"Trường",$H$14:$H$107)+SUMIF($E$14:$F$107,"All team",$H$14:$H$107)/5</f>
        <v>40</v>
      </c>
    </row>
    <row r="7" spans="1:53" ht="17.399999999999999" thickBot="1" x14ac:dyDescent="0.35">
      <c r="A7" s="1"/>
      <c r="B7" s="9">
        <v>2</v>
      </c>
      <c r="C7" s="3" t="s">
        <v>117</v>
      </c>
      <c r="D7" s="3">
        <f ca="1">SUMIF(E14:F107,"Ánh",G14:G107)+SUMIF(E14:F107,"All team",G14:G107)/5+SUMIF(E14:F107,"Ánh, Hà",G14:G107)/2</f>
        <v>27.7</v>
      </c>
      <c r="E7" s="3">
        <f ca="1">SUMIF(E14:F107,"Ánh",H14:H107)+SUMIF(E14:F107,"All team",H14:H107)/5+SUMIF(E14:F107,"Ánh, Hà",H14:H107)/2</f>
        <v>29</v>
      </c>
    </row>
    <row r="8" spans="1:53" ht="17.399999999999999" thickBot="1" x14ac:dyDescent="0.35">
      <c r="A8" s="1"/>
      <c r="B8" s="9">
        <v>3</v>
      </c>
      <c r="C8" s="3" t="s">
        <v>118</v>
      </c>
      <c r="D8" s="3">
        <f ca="1">SUMIF(E14:F107,"Bình",G14:G107)+SUMIF(E14:F107,"All team",G14:G107)/5+SUMIF(E14:F107,"Bình, Quân",G14:G107)/2</f>
        <v>33.700000000000003</v>
      </c>
      <c r="E8" s="3">
        <f ca="1">SUMIF(E14:F107,"Bình",H14:H107)+SUMIF(E14:F107,"All team",H14:H107)/5+SUMIF(E14:F107,"Bình, Quân",H14:H107)/2</f>
        <v>31</v>
      </c>
    </row>
    <row r="9" spans="1:53" ht="17.399999999999999" thickBot="1" x14ac:dyDescent="0.35">
      <c r="A9" s="1"/>
      <c r="B9" s="9">
        <v>4</v>
      </c>
      <c r="C9" s="3" t="s">
        <v>119</v>
      </c>
      <c r="D9" s="3">
        <f ca="1">SUMIF(E14:F107,"Hà",G14:G107)+SUMIF(E14:F107,"All team",G14:G107)/5+SUMIF(E14:F107,"Ánh, Hà",G14:G107)/2</f>
        <v>26.7</v>
      </c>
      <c r="E9" s="3">
        <f ca="1">SUMIF(E14:F107,"Hà",H14:H107)+SUMIF(E14:F107,"All team",H14:H107)/5+SUMIF(E14:F107,"Ánh, Hà",H14:H107)/2</f>
        <v>27</v>
      </c>
    </row>
    <row r="10" spans="1:53" ht="17.399999999999999" thickBot="1" x14ac:dyDescent="0.35">
      <c r="A10" s="1"/>
      <c r="B10" s="9">
        <v>5</v>
      </c>
      <c r="C10" s="3" t="s">
        <v>120</v>
      </c>
      <c r="D10" s="3">
        <f ca="1">SUMIF(E14:F107,"Quân",G14:G107)+SUMIF(E14:F107,"All team",G14:G107)/5+SUMIF(E14:F107,"Bình, Quân",G14:G107)/2</f>
        <v>29.7</v>
      </c>
      <c r="E10" s="3">
        <f ca="1">SUMIF(E14:F107,"Quân",H14:H107)+SUMIF(E14:F107,"All team",H14:H107)/5+SUMIF(E14:F107,"Bình, Quân",H14:H107)/2</f>
        <v>29</v>
      </c>
      <c r="F10" t="s">
        <v>125</v>
      </c>
    </row>
    <row r="11" spans="1:53" ht="17.399999999999999" thickBot="1" x14ac:dyDescent="0.35">
      <c r="A11" s="1"/>
      <c r="B11" s="59" t="s">
        <v>12</v>
      </c>
      <c r="C11" s="59"/>
      <c r="D11" s="6">
        <f ca="1">SUM(D6:D10)</f>
        <v>157</v>
      </c>
      <c r="E11" s="6">
        <f ca="1">SUM(E6:E10)</f>
        <v>156</v>
      </c>
    </row>
    <row r="13" spans="1:53" ht="63.75" customHeight="1" x14ac:dyDescent="0.3">
      <c r="A13" s="24" t="s">
        <v>7</v>
      </c>
      <c r="B13" s="24" t="s">
        <v>8</v>
      </c>
      <c r="C13" s="53" t="s">
        <v>9</v>
      </c>
      <c r="D13" s="53"/>
      <c r="E13" s="53" t="s">
        <v>10</v>
      </c>
      <c r="F13" s="53"/>
      <c r="G13" s="18" t="s">
        <v>11</v>
      </c>
      <c r="H13" s="18" t="s">
        <v>48</v>
      </c>
      <c r="I13" s="19">
        <v>46120</v>
      </c>
      <c r="J13" s="19">
        <v>46121</v>
      </c>
      <c r="K13" s="19">
        <v>46122</v>
      </c>
      <c r="L13" s="19">
        <v>46123</v>
      </c>
      <c r="M13" s="19">
        <v>46124</v>
      </c>
      <c r="N13" s="19">
        <v>46125</v>
      </c>
      <c r="O13" s="19">
        <v>46126</v>
      </c>
      <c r="P13" s="19">
        <v>46127</v>
      </c>
      <c r="Q13" s="19">
        <v>46128</v>
      </c>
      <c r="R13" s="19">
        <v>46129</v>
      </c>
      <c r="S13" s="19">
        <v>46130</v>
      </c>
      <c r="T13" s="19">
        <v>46131</v>
      </c>
      <c r="U13" s="19">
        <v>46132</v>
      </c>
      <c r="V13" s="19">
        <v>46133</v>
      </c>
      <c r="W13" s="19">
        <v>46134</v>
      </c>
      <c r="X13" s="19">
        <v>46135</v>
      </c>
      <c r="Y13" s="8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ht="16.8" x14ac:dyDescent="0.3">
      <c r="A14" s="46" t="s">
        <v>31</v>
      </c>
      <c r="B14" s="45" t="s">
        <v>13</v>
      </c>
      <c r="C14" s="45"/>
      <c r="D14" s="45"/>
      <c r="E14" s="42" t="s">
        <v>47</v>
      </c>
      <c r="F14" s="42"/>
      <c r="G14" s="20">
        <v>10</v>
      </c>
      <c r="H14" s="20">
        <v>10</v>
      </c>
      <c r="I14" s="20">
        <v>10</v>
      </c>
      <c r="J14" s="21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</row>
    <row r="15" spans="1:53" ht="16.8" x14ac:dyDescent="0.3">
      <c r="A15" s="46"/>
      <c r="B15" s="45" t="s">
        <v>40</v>
      </c>
      <c r="C15" s="45"/>
      <c r="D15" s="45"/>
      <c r="E15" s="42" t="s">
        <v>126</v>
      </c>
      <c r="F15" s="42"/>
      <c r="G15" s="20">
        <v>4</v>
      </c>
      <c r="H15" s="20">
        <v>4</v>
      </c>
      <c r="I15" s="20">
        <v>4</v>
      </c>
      <c r="J15" s="20">
        <v>4</v>
      </c>
      <c r="K15" s="21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</row>
    <row r="16" spans="1:53" ht="16.8" x14ac:dyDescent="0.3">
      <c r="A16" s="46"/>
      <c r="B16" s="45" t="s">
        <v>15</v>
      </c>
      <c r="C16" s="45"/>
      <c r="D16" s="45"/>
      <c r="E16" s="42" t="s">
        <v>127</v>
      </c>
      <c r="F16" s="42"/>
      <c r="G16" s="20">
        <v>4</v>
      </c>
      <c r="H16" s="20">
        <v>4</v>
      </c>
      <c r="I16" s="20">
        <v>4</v>
      </c>
      <c r="J16" s="20">
        <v>4</v>
      </c>
      <c r="K16" s="20">
        <v>4</v>
      </c>
      <c r="L16" s="21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</row>
    <row r="17" spans="1:24" ht="17.25" customHeight="1" x14ac:dyDescent="0.3">
      <c r="A17" s="46"/>
      <c r="B17" s="46" t="s">
        <v>16</v>
      </c>
      <c r="C17" s="45" t="s">
        <v>129</v>
      </c>
      <c r="D17" s="45"/>
      <c r="E17" s="42" t="s">
        <v>122</v>
      </c>
      <c r="F17" s="42"/>
      <c r="G17" s="20">
        <v>1</v>
      </c>
      <c r="H17" s="20">
        <v>1</v>
      </c>
      <c r="I17" s="20">
        <v>1</v>
      </c>
      <c r="J17" s="20">
        <v>1</v>
      </c>
      <c r="K17" s="20">
        <v>1</v>
      </c>
      <c r="L17" s="21">
        <v>0</v>
      </c>
      <c r="M17" s="20">
        <v>1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</row>
    <row r="18" spans="1:24" ht="16.8" x14ac:dyDescent="0.3">
      <c r="A18" s="46"/>
      <c r="B18" s="46"/>
      <c r="C18" s="45" t="s">
        <v>130</v>
      </c>
      <c r="D18" s="45"/>
      <c r="E18" s="42" t="s">
        <v>123</v>
      </c>
      <c r="F18" s="42"/>
      <c r="G18" s="20">
        <v>1</v>
      </c>
      <c r="H18" s="20">
        <v>1</v>
      </c>
      <c r="I18" s="20">
        <v>1</v>
      </c>
      <c r="J18" s="20">
        <v>1</v>
      </c>
      <c r="K18" s="20">
        <v>1</v>
      </c>
      <c r="L18" s="21">
        <v>0</v>
      </c>
      <c r="M18" s="20">
        <v>1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</row>
    <row r="19" spans="1:24" ht="16.8" x14ac:dyDescent="0.3">
      <c r="A19" s="46"/>
      <c r="B19" s="46"/>
      <c r="C19" s="45" t="s">
        <v>131</v>
      </c>
      <c r="D19" s="45"/>
      <c r="E19" s="42" t="s">
        <v>128</v>
      </c>
      <c r="F19" s="42"/>
      <c r="G19" s="20">
        <v>2</v>
      </c>
      <c r="H19" s="20">
        <v>1</v>
      </c>
      <c r="I19" s="20">
        <v>1</v>
      </c>
      <c r="J19" s="20">
        <v>1</v>
      </c>
      <c r="K19" s="20">
        <v>1</v>
      </c>
      <c r="L19" s="21">
        <v>0</v>
      </c>
      <c r="M19" s="20">
        <v>1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</row>
    <row r="20" spans="1:24" ht="16.8" x14ac:dyDescent="0.3">
      <c r="A20" s="46"/>
      <c r="B20" s="46"/>
      <c r="C20" s="45" t="s">
        <v>132</v>
      </c>
      <c r="D20" s="45"/>
      <c r="E20" s="42" t="s">
        <v>85</v>
      </c>
      <c r="F20" s="42"/>
      <c r="G20" s="20">
        <v>2</v>
      </c>
      <c r="H20" s="20">
        <v>3</v>
      </c>
      <c r="I20" s="20">
        <v>3</v>
      </c>
      <c r="J20" s="20">
        <v>3</v>
      </c>
      <c r="K20" s="20">
        <v>3</v>
      </c>
      <c r="L20" s="20">
        <v>2</v>
      </c>
      <c r="M20" s="21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</row>
    <row r="21" spans="1:24" ht="16.8" x14ac:dyDescent="0.3">
      <c r="A21" s="46"/>
      <c r="B21" s="46"/>
      <c r="C21" s="40"/>
      <c r="D21" s="41"/>
      <c r="E21" s="40"/>
      <c r="F21" s="41"/>
      <c r="G21" s="20"/>
      <c r="H21" s="20"/>
      <c r="I21" s="20"/>
      <c r="J21" s="20"/>
      <c r="K21" s="20"/>
      <c r="L21" s="20"/>
      <c r="M21" s="22">
        <v>1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6.8" x14ac:dyDescent="0.3">
      <c r="A22" s="46"/>
      <c r="B22" s="46"/>
      <c r="C22" s="45" t="s">
        <v>133</v>
      </c>
      <c r="D22" s="45"/>
      <c r="E22" s="42" t="s">
        <v>122</v>
      </c>
      <c r="F22" s="42"/>
      <c r="G22" s="20">
        <v>2</v>
      </c>
      <c r="H22" s="20">
        <v>3</v>
      </c>
      <c r="I22" s="20">
        <v>3</v>
      </c>
      <c r="J22" s="20">
        <v>3</v>
      </c>
      <c r="K22" s="20">
        <v>3</v>
      </c>
      <c r="L22" s="20">
        <v>2</v>
      </c>
      <c r="M22" s="21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</row>
    <row r="23" spans="1:24" ht="16.8" x14ac:dyDescent="0.3">
      <c r="A23" s="46"/>
      <c r="B23" s="46"/>
      <c r="C23" s="40"/>
      <c r="D23" s="41"/>
      <c r="E23" s="40"/>
      <c r="F23" s="41"/>
      <c r="G23" s="20"/>
      <c r="H23" s="20"/>
      <c r="I23" s="20"/>
      <c r="J23" s="20"/>
      <c r="K23" s="20"/>
      <c r="L23" s="20"/>
      <c r="M23" s="22">
        <v>1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6.8" x14ac:dyDescent="0.3">
      <c r="A24" s="46"/>
      <c r="B24" s="46"/>
      <c r="C24" s="45" t="s">
        <v>134</v>
      </c>
      <c r="D24" s="45"/>
      <c r="E24" s="42" t="s">
        <v>123</v>
      </c>
      <c r="F24" s="42"/>
      <c r="G24" s="20">
        <v>1</v>
      </c>
      <c r="H24" s="20">
        <v>2</v>
      </c>
      <c r="I24" s="20">
        <v>2</v>
      </c>
      <c r="J24" s="20">
        <v>2</v>
      </c>
      <c r="K24" s="20">
        <v>2</v>
      </c>
      <c r="L24" s="20">
        <v>1</v>
      </c>
      <c r="M24" s="21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</row>
    <row r="25" spans="1:24" ht="16.8" x14ac:dyDescent="0.3">
      <c r="A25" s="46"/>
      <c r="B25" s="46"/>
      <c r="C25" s="40"/>
      <c r="D25" s="41"/>
      <c r="E25" s="40"/>
      <c r="F25" s="41"/>
      <c r="G25" s="20"/>
      <c r="H25" s="20"/>
      <c r="I25" s="20"/>
      <c r="J25" s="20"/>
      <c r="K25" s="20"/>
      <c r="L25" s="20"/>
      <c r="M25" s="22">
        <v>1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6.8" x14ac:dyDescent="0.3">
      <c r="A26" s="46"/>
      <c r="B26" s="46"/>
      <c r="C26" s="43" t="s">
        <v>135</v>
      </c>
      <c r="D26" s="44"/>
      <c r="E26" s="42" t="s">
        <v>128</v>
      </c>
      <c r="F26" s="42"/>
      <c r="G26" s="20">
        <v>2</v>
      </c>
      <c r="H26" s="20">
        <v>2</v>
      </c>
      <c r="I26" s="20">
        <v>2</v>
      </c>
      <c r="J26" s="20">
        <v>2</v>
      </c>
      <c r="K26" s="20">
        <v>2</v>
      </c>
      <c r="L26" s="20">
        <v>2</v>
      </c>
      <c r="M26" s="21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</row>
    <row r="27" spans="1:24" ht="16.8" x14ac:dyDescent="0.3">
      <c r="A27" s="46"/>
      <c r="B27" s="46"/>
      <c r="C27" s="40"/>
      <c r="D27" s="41"/>
      <c r="E27" s="40"/>
      <c r="F27" s="41"/>
      <c r="G27" s="20"/>
      <c r="H27" s="20"/>
      <c r="I27" s="20"/>
      <c r="J27" s="20"/>
      <c r="K27" s="20"/>
      <c r="L27" s="20"/>
      <c r="M27" s="21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6.8" x14ac:dyDescent="0.3">
      <c r="A28" s="46"/>
      <c r="B28" s="46"/>
      <c r="C28" s="45" t="s">
        <v>136</v>
      </c>
      <c r="D28" s="45"/>
      <c r="E28" s="42" t="s">
        <v>85</v>
      </c>
      <c r="F28" s="42"/>
      <c r="G28" s="20">
        <v>1</v>
      </c>
      <c r="H28" s="20">
        <v>2</v>
      </c>
      <c r="I28" s="20">
        <v>2</v>
      </c>
      <c r="J28" s="20">
        <v>2</v>
      </c>
      <c r="K28" s="20">
        <v>2</v>
      </c>
      <c r="L28" s="20">
        <v>2</v>
      </c>
      <c r="M28" s="20">
        <v>1</v>
      </c>
      <c r="N28" s="21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</row>
    <row r="29" spans="1:24" ht="16.8" x14ac:dyDescent="0.3">
      <c r="A29" s="46"/>
      <c r="B29" s="46"/>
      <c r="C29" s="40"/>
      <c r="D29" s="41"/>
      <c r="E29" s="40"/>
      <c r="F29" s="41"/>
      <c r="G29" s="20"/>
      <c r="H29" s="20"/>
      <c r="I29" s="20"/>
      <c r="J29" s="20"/>
      <c r="K29" s="20"/>
      <c r="L29" s="20"/>
      <c r="M29" s="20"/>
      <c r="N29" s="22">
        <v>1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16.8" x14ac:dyDescent="0.3">
      <c r="A30" s="46"/>
      <c r="B30" s="46"/>
      <c r="C30" s="43" t="s">
        <v>137</v>
      </c>
      <c r="D30" s="44"/>
      <c r="E30" s="42" t="s">
        <v>122</v>
      </c>
      <c r="F30" s="42"/>
      <c r="G30" s="20">
        <v>1</v>
      </c>
      <c r="H30" s="20">
        <v>2</v>
      </c>
      <c r="I30" s="20">
        <v>2</v>
      </c>
      <c r="J30" s="20">
        <v>2</v>
      </c>
      <c r="K30" s="20">
        <v>2</v>
      </c>
      <c r="L30" s="20">
        <v>2</v>
      </c>
      <c r="M30" s="20">
        <v>1</v>
      </c>
      <c r="N30" s="21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</row>
    <row r="31" spans="1:24" ht="16.8" x14ac:dyDescent="0.3">
      <c r="A31" s="46"/>
      <c r="B31" s="46"/>
      <c r="C31" s="40"/>
      <c r="D31" s="41"/>
      <c r="E31" s="40"/>
      <c r="F31" s="41"/>
      <c r="G31" s="20"/>
      <c r="H31" s="20"/>
      <c r="I31" s="20"/>
      <c r="J31" s="20"/>
      <c r="K31" s="20"/>
      <c r="L31" s="20"/>
      <c r="M31" s="20"/>
      <c r="N31" s="22">
        <v>1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 spans="1:24" ht="16.8" x14ac:dyDescent="0.3">
      <c r="A32" s="46"/>
      <c r="B32" s="46"/>
      <c r="C32" s="45" t="s">
        <v>43</v>
      </c>
      <c r="D32" s="45"/>
      <c r="E32" s="42" t="s">
        <v>47</v>
      </c>
      <c r="F32" s="42"/>
      <c r="G32" s="20">
        <v>5</v>
      </c>
      <c r="H32" s="20">
        <v>4</v>
      </c>
      <c r="I32" s="20">
        <v>4</v>
      </c>
      <c r="J32" s="20">
        <v>4</v>
      </c>
      <c r="K32" s="20">
        <v>4</v>
      </c>
      <c r="L32" s="20">
        <v>4</v>
      </c>
      <c r="M32" s="20">
        <v>4</v>
      </c>
      <c r="N32" s="21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</row>
    <row r="33" spans="1:24" ht="16.8" x14ac:dyDescent="0.3">
      <c r="A33" s="46"/>
      <c r="B33" s="46"/>
      <c r="C33" s="42"/>
      <c r="D33" s="42"/>
      <c r="E33" s="42"/>
      <c r="F33" s="42"/>
      <c r="G33" s="20"/>
      <c r="H33" s="20"/>
      <c r="I33" s="20"/>
      <c r="J33" s="20"/>
      <c r="K33" s="20"/>
      <c r="L33" s="20"/>
      <c r="M33" s="20"/>
      <c r="N33" s="23">
        <v>1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spans="1:24" ht="16.8" x14ac:dyDescent="0.3">
      <c r="A34" s="46"/>
      <c r="B34" s="46" t="s">
        <v>20</v>
      </c>
      <c r="C34" s="45" t="s">
        <v>17</v>
      </c>
      <c r="D34" s="45"/>
      <c r="E34" s="41" t="s">
        <v>122</v>
      </c>
      <c r="F34" s="42"/>
      <c r="G34" s="20">
        <v>1</v>
      </c>
      <c r="H34" s="20">
        <v>1</v>
      </c>
      <c r="I34" s="20">
        <v>1</v>
      </c>
      <c r="J34" s="20">
        <v>1</v>
      </c>
      <c r="K34" s="20">
        <v>1</v>
      </c>
      <c r="L34" s="20">
        <v>1</v>
      </c>
      <c r="M34" s="20">
        <v>1</v>
      </c>
      <c r="N34" s="20">
        <v>1</v>
      </c>
      <c r="O34" s="21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</row>
    <row r="35" spans="1:24" ht="16.8" x14ac:dyDescent="0.3">
      <c r="A35" s="46"/>
      <c r="B35" s="46"/>
      <c r="C35" s="45" t="s">
        <v>138</v>
      </c>
      <c r="D35" s="45"/>
      <c r="E35" s="41" t="s">
        <v>123</v>
      </c>
      <c r="F35" s="42"/>
      <c r="G35" s="20">
        <v>1</v>
      </c>
      <c r="H35" s="20">
        <v>1</v>
      </c>
      <c r="I35" s="20">
        <v>1</v>
      </c>
      <c r="J35" s="20">
        <v>1</v>
      </c>
      <c r="K35" s="20">
        <v>1</v>
      </c>
      <c r="L35" s="20">
        <v>1</v>
      </c>
      <c r="M35" s="20">
        <v>1</v>
      </c>
      <c r="N35" s="20">
        <v>1</v>
      </c>
      <c r="O35" s="21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</row>
    <row r="36" spans="1:24" ht="16.8" x14ac:dyDescent="0.3">
      <c r="A36" s="46"/>
      <c r="B36" s="46"/>
      <c r="C36" s="47" t="s">
        <v>139</v>
      </c>
      <c r="D36" s="48"/>
      <c r="E36" s="41" t="s">
        <v>128</v>
      </c>
      <c r="F36" s="42"/>
      <c r="G36" s="20">
        <v>2</v>
      </c>
      <c r="H36" s="20">
        <v>1</v>
      </c>
      <c r="I36" s="20">
        <v>1</v>
      </c>
      <c r="J36" s="20">
        <v>1</v>
      </c>
      <c r="K36" s="20">
        <v>1</v>
      </c>
      <c r="L36" s="20">
        <v>1</v>
      </c>
      <c r="M36" s="20">
        <v>1</v>
      </c>
      <c r="N36" s="20">
        <v>1</v>
      </c>
      <c r="O36" s="21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</row>
    <row r="37" spans="1:24" ht="16.8" x14ac:dyDescent="0.3">
      <c r="A37" s="46"/>
      <c r="B37" s="46"/>
      <c r="C37" s="40"/>
      <c r="D37" s="41"/>
      <c r="E37" s="40"/>
      <c r="F37" s="41"/>
      <c r="G37" s="20"/>
      <c r="H37" s="20"/>
      <c r="I37" s="20"/>
      <c r="J37" s="20"/>
      <c r="K37" s="20"/>
      <c r="L37" s="20"/>
      <c r="M37" s="20"/>
      <c r="N37" s="20"/>
      <c r="O37" s="23">
        <v>1</v>
      </c>
      <c r="P37" s="20"/>
      <c r="Q37" s="20"/>
      <c r="R37" s="20"/>
      <c r="S37" s="20"/>
      <c r="T37" s="20"/>
      <c r="U37" s="20"/>
      <c r="V37" s="20"/>
      <c r="W37" s="20"/>
      <c r="X37" s="20"/>
    </row>
    <row r="38" spans="1:24" ht="16.8" x14ac:dyDescent="0.3">
      <c r="A38" s="46"/>
      <c r="B38" s="46"/>
      <c r="C38" s="45" t="s">
        <v>140</v>
      </c>
      <c r="D38" s="45"/>
      <c r="E38" s="41" t="s">
        <v>85</v>
      </c>
      <c r="F38" s="42"/>
      <c r="G38" s="20">
        <v>3</v>
      </c>
      <c r="H38" s="20">
        <v>3</v>
      </c>
      <c r="I38" s="20">
        <v>3</v>
      </c>
      <c r="J38" s="20">
        <v>3</v>
      </c>
      <c r="K38" s="20">
        <v>3</v>
      </c>
      <c r="L38" s="20">
        <v>3</v>
      </c>
      <c r="M38" s="20">
        <v>3</v>
      </c>
      <c r="N38" s="20">
        <v>3</v>
      </c>
      <c r="O38" s="21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</row>
    <row r="39" spans="1:24" ht="16.8" x14ac:dyDescent="0.3">
      <c r="A39" s="46"/>
      <c r="B39" s="46"/>
      <c r="C39" s="45" t="s">
        <v>141</v>
      </c>
      <c r="D39" s="45"/>
      <c r="E39" s="41" t="s">
        <v>128</v>
      </c>
      <c r="F39" s="42"/>
      <c r="G39" s="20">
        <v>3</v>
      </c>
      <c r="H39" s="20">
        <v>3</v>
      </c>
      <c r="I39" s="20">
        <v>3</v>
      </c>
      <c r="J39" s="20">
        <v>3</v>
      </c>
      <c r="K39" s="20">
        <v>3</v>
      </c>
      <c r="L39" s="20">
        <v>3</v>
      </c>
      <c r="M39" s="20">
        <v>3</v>
      </c>
      <c r="N39" s="20">
        <v>3</v>
      </c>
      <c r="O39" s="21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</row>
    <row r="40" spans="1:24" ht="19.8" customHeight="1" x14ac:dyDescent="0.3">
      <c r="A40" s="46"/>
      <c r="B40" s="46"/>
      <c r="C40" s="45" t="s">
        <v>142</v>
      </c>
      <c r="D40" s="45"/>
      <c r="E40" s="41" t="s">
        <v>122</v>
      </c>
      <c r="F40" s="42"/>
      <c r="G40" s="20">
        <v>2</v>
      </c>
      <c r="H40" s="20">
        <v>2</v>
      </c>
      <c r="I40" s="20">
        <v>2</v>
      </c>
      <c r="J40" s="20">
        <v>2</v>
      </c>
      <c r="K40" s="20">
        <v>2</v>
      </c>
      <c r="L40" s="20">
        <v>2</v>
      </c>
      <c r="M40" s="20">
        <v>2</v>
      </c>
      <c r="N40" s="20">
        <v>2</v>
      </c>
      <c r="O40" s="20">
        <v>2</v>
      </c>
      <c r="P40" s="21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</row>
    <row r="41" spans="1:24" ht="16.8" x14ac:dyDescent="0.3">
      <c r="A41" s="46"/>
      <c r="B41" s="46"/>
      <c r="C41" s="43" t="s">
        <v>145</v>
      </c>
      <c r="D41" s="44"/>
      <c r="E41" s="41" t="s">
        <v>123</v>
      </c>
      <c r="F41" s="42"/>
      <c r="G41" s="20">
        <v>3</v>
      </c>
      <c r="H41" s="20">
        <v>3</v>
      </c>
      <c r="I41" s="20">
        <v>3</v>
      </c>
      <c r="J41" s="20">
        <v>3</v>
      </c>
      <c r="K41" s="20">
        <v>3</v>
      </c>
      <c r="L41" s="20">
        <v>3</v>
      </c>
      <c r="M41" s="20">
        <v>3</v>
      </c>
      <c r="N41" s="20">
        <v>3</v>
      </c>
      <c r="O41" s="20">
        <v>3</v>
      </c>
      <c r="P41" s="21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</row>
    <row r="42" spans="1:24" ht="16.8" x14ac:dyDescent="0.3">
      <c r="A42" s="46"/>
      <c r="B42" s="46"/>
      <c r="C42" s="45" t="s">
        <v>143</v>
      </c>
      <c r="D42" s="45"/>
      <c r="E42" s="41" t="s">
        <v>128</v>
      </c>
      <c r="F42" s="42"/>
      <c r="G42" s="20">
        <v>2</v>
      </c>
      <c r="H42" s="20">
        <v>2</v>
      </c>
      <c r="I42" s="20">
        <v>2</v>
      </c>
      <c r="J42" s="20">
        <v>2</v>
      </c>
      <c r="K42" s="20">
        <v>2</v>
      </c>
      <c r="L42" s="20">
        <v>2</v>
      </c>
      <c r="M42" s="20">
        <v>2</v>
      </c>
      <c r="N42" s="20">
        <v>2</v>
      </c>
      <c r="O42" s="20">
        <v>2</v>
      </c>
      <c r="P42" s="21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</row>
    <row r="43" spans="1:24" ht="16.8" x14ac:dyDescent="0.3">
      <c r="A43" s="46"/>
      <c r="B43" s="46"/>
      <c r="C43" s="43" t="s">
        <v>144</v>
      </c>
      <c r="D43" s="44"/>
      <c r="E43" s="41" t="s">
        <v>85</v>
      </c>
      <c r="F43" s="42"/>
      <c r="G43" s="20">
        <v>2</v>
      </c>
      <c r="H43" s="20">
        <v>2</v>
      </c>
      <c r="I43" s="20">
        <v>2</v>
      </c>
      <c r="J43" s="20">
        <v>2</v>
      </c>
      <c r="K43" s="20">
        <v>2</v>
      </c>
      <c r="L43" s="20">
        <v>2</v>
      </c>
      <c r="M43" s="20">
        <v>2</v>
      </c>
      <c r="N43" s="20">
        <v>2</v>
      </c>
      <c r="O43" s="20">
        <v>2</v>
      </c>
      <c r="P43" s="21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</row>
    <row r="44" spans="1:24" ht="16.8" x14ac:dyDescent="0.3">
      <c r="A44" s="46"/>
      <c r="B44" s="46"/>
      <c r="C44" s="40"/>
      <c r="D44" s="41"/>
      <c r="E44" s="40"/>
      <c r="F44" s="41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 spans="1:24" ht="16.8" x14ac:dyDescent="0.3">
      <c r="A45" s="46"/>
      <c r="B45" s="46"/>
      <c r="C45" s="45" t="s">
        <v>44</v>
      </c>
      <c r="D45" s="45"/>
      <c r="E45" s="42" t="s">
        <v>47</v>
      </c>
      <c r="F45" s="42"/>
      <c r="G45" s="20">
        <v>6</v>
      </c>
      <c r="H45" s="20">
        <v>4</v>
      </c>
      <c r="I45" s="20">
        <v>4</v>
      </c>
      <c r="J45" s="20">
        <v>4</v>
      </c>
      <c r="K45" s="20">
        <v>4</v>
      </c>
      <c r="L45" s="20">
        <v>4</v>
      </c>
      <c r="M45" s="20">
        <v>4</v>
      </c>
      <c r="N45" s="20">
        <v>4</v>
      </c>
      <c r="O45" s="20">
        <v>4</v>
      </c>
      <c r="P45" s="21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</row>
    <row r="46" spans="1:24" ht="16.8" x14ac:dyDescent="0.3">
      <c r="A46" s="46"/>
      <c r="B46" s="46"/>
      <c r="C46" s="42"/>
      <c r="D46" s="42"/>
      <c r="E46" s="42"/>
      <c r="F46" s="42"/>
      <c r="G46" s="20"/>
      <c r="H46" s="20"/>
      <c r="I46" s="20"/>
      <c r="J46" s="20"/>
      <c r="K46" s="20"/>
      <c r="L46" s="20"/>
      <c r="M46" s="20"/>
      <c r="N46" s="20"/>
      <c r="O46" s="20"/>
      <c r="P46" s="23">
        <v>2</v>
      </c>
      <c r="Q46" s="10"/>
      <c r="R46" s="20"/>
      <c r="S46" s="20"/>
      <c r="T46" s="20"/>
      <c r="U46" s="20"/>
      <c r="V46" s="20"/>
      <c r="W46" s="20"/>
      <c r="X46" s="20"/>
    </row>
    <row r="47" spans="1:24" ht="16.8" x14ac:dyDescent="0.3">
      <c r="A47" s="46"/>
      <c r="B47" s="46" t="s">
        <v>23</v>
      </c>
      <c r="C47" s="45" t="s">
        <v>146</v>
      </c>
      <c r="D47" s="45"/>
      <c r="E47" s="42" t="s">
        <v>122</v>
      </c>
      <c r="F47" s="42"/>
      <c r="G47" s="20">
        <v>2</v>
      </c>
      <c r="H47" s="20">
        <v>2</v>
      </c>
      <c r="I47" s="20">
        <v>2</v>
      </c>
      <c r="J47" s="20">
        <v>2</v>
      </c>
      <c r="K47" s="20">
        <v>2</v>
      </c>
      <c r="L47" s="20">
        <v>2</v>
      </c>
      <c r="M47" s="20">
        <v>2</v>
      </c>
      <c r="N47" s="20">
        <v>2</v>
      </c>
      <c r="O47" s="20">
        <v>2</v>
      </c>
      <c r="P47" s="20">
        <v>2</v>
      </c>
      <c r="Q47" s="21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</row>
    <row r="48" spans="1:24" ht="16.8" x14ac:dyDescent="0.3">
      <c r="A48" s="46"/>
      <c r="B48" s="46"/>
      <c r="C48" s="45" t="s">
        <v>21</v>
      </c>
      <c r="D48" s="45"/>
      <c r="E48" s="42" t="s">
        <v>128</v>
      </c>
      <c r="F48" s="42"/>
      <c r="G48" s="20">
        <v>2</v>
      </c>
      <c r="H48" s="20">
        <v>2</v>
      </c>
      <c r="I48" s="20">
        <v>2</v>
      </c>
      <c r="J48" s="20">
        <v>2</v>
      </c>
      <c r="K48" s="20">
        <v>2</v>
      </c>
      <c r="L48" s="20">
        <v>2</v>
      </c>
      <c r="M48" s="20">
        <v>2</v>
      </c>
      <c r="N48" s="20">
        <v>2</v>
      </c>
      <c r="O48" s="20">
        <v>2</v>
      </c>
      <c r="P48" s="20">
        <v>2</v>
      </c>
      <c r="Q48" s="21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</row>
    <row r="49" spans="1:24" ht="16.8" x14ac:dyDescent="0.3">
      <c r="A49" s="46"/>
      <c r="B49" s="46"/>
      <c r="C49" s="45" t="s">
        <v>147</v>
      </c>
      <c r="D49" s="45"/>
      <c r="E49" s="42" t="s">
        <v>123</v>
      </c>
      <c r="F49" s="42"/>
      <c r="G49" s="20">
        <v>2</v>
      </c>
      <c r="H49" s="20">
        <v>2</v>
      </c>
      <c r="I49" s="20">
        <v>2</v>
      </c>
      <c r="J49" s="20">
        <v>2</v>
      </c>
      <c r="K49" s="20">
        <v>2</v>
      </c>
      <c r="L49" s="20">
        <v>2</v>
      </c>
      <c r="M49" s="20">
        <v>2</v>
      </c>
      <c r="N49" s="20">
        <v>2</v>
      </c>
      <c r="O49" s="20">
        <v>2</v>
      </c>
      <c r="P49" s="20">
        <v>2</v>
      </c>
      <c r="Q49" s="21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</row>
    <row r="50" spans="1:24" ht="16.8" x14ac:dyDescent="0.3">
      <c r="A50" s="46"/>
      <c r="B50" s="46"/>
      <c r="C50" s="45" t="s">
        <v>56</v>
      </c>
      <c r="D50" s="45"/>
      <c r="E50" s="42" t="s">
        <v>85</v>
      </c>
      <c r="F50" s="42"/>
      <c r="G50" s="20">
        <v>2</v>
      </c>
      <c r="H50" s="20">
        <v>2</v>
      </c>
      <c r="I50" s="20">
        <v>2</v>
      </c>
      <c r="J50" s="20">
        <v>2</v>
      </c>
      <c r="K50" s="20">
        <v>2</v>
      </c>
      <c r="L50" s="20">
        <v>2</v>
      </c>
      <c r="M50" s="20">
        <v>2</v>
      </c>
      <c r="N50" s="20">
        <v>2</v>
      </c>
      <c r="O50" s="20">
        <v>2</v>
      </c>
      <c r="P50" s="20">
        <v>2</v>
      </c>
      <c r="Q50" s="21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</row>
    <row r="51" spans="1:24" ht="16.8" x14ac:dyDescent="0.3">
      <c r="A51" s="46"/>
      <c r="B51" s="46"/>
      <c r="C51" s="45" t="s">
        <v>148</v>
      </c>
      <c r="D51" s="45"/>
      <c r="E51" s="42" t="s">
        <v>124</v>
      </c>
      <c r="F51" s="42"/>
      <c r="G51" s="20">
        <v>3</v>
      </c>
      <c r="H51" s="20">
        <v>4</v>
      </c>
      <c r="I51" s="20">
        <v>4</v>
      </c>
      <c r="J51" s="20">
        <v>4</v>
      </c>
      <c r="K51" s="20">
        <v>4</v>
      </c>
      <c r="L51" s="20">
        <v>4</v>
      </c>
      <c r="M51" s="20">
        <v>4</v>
      </c>
      <c r="N51" s="20">
        <v>4</v>
      </c>
      <c r="O51" s="20">
        <v>4</v>
      </c>
      <c r="P51" s="20">
        <v>3</v>
      </c>
      <c r="Q51" s="21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</row>
    <row r="52" spans="1:24" ht="16.8" x14ac:dyDescent="0.3">
      <c r="A52" s="46"/>
      <c r="B52" s="46"/>
      <c r="C52" s="40"/>
      <c r="D52" s="41"/>
      <c r="E52" s="40"/>
      <c r="F52" s="41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2">
        <v>1</v>
      </c>
      <c r="R52" s="20"/>
      <c r="S52" s="20"/>
      <c r="T52" s="20"/>
      <c r="U52" s="20"/>
      <c r="V52" s="20"/>
      <c r="W52" s="20"/>
      <c r="X52" s="20"/>
    </row>
    <row r="53" spans="1:24" ht="16.8" x14ac:dyDescent="0.3">
      <c r="A53" s="46"/>
      <c r="B53" s="46"/>
      <c r="C53" s="45" t="s">
        <v>60</v>
      </c>
      <c r="D53" s="45"/>
      <c r="E53" s="42" t="s">
        <v>124</v>
      </c>
      <c r="F53" s="42"/>
      <c r="G53" s="20">
        <v>3</v>
      </c>
      <c r="H53" s="20">
        <v>3</v>
      </c>
      <c r="I53" s="20">
        <v>3</v>
      </c>
      <c r="J53" s="20">
        <v>3</v>
      </c>
      <c r="K53" s="20">
        <v>3</v>
      </c>
      <c r="L53" s="20">
        <v>3</v>
      </c>
      <c r="M53" s="20">
        <v>3</v>
      </c>
      <c r="N53" s="20">
        <v>3</v>
      </c>
      <c r="O53" s="20">
        <v>3</v>
      </c>
      <c r="P53" s="20">
        <v>3</v>
      </c>
      <c r="Q53" s="20">
        <v>3</v>
      </c>
      <c r="R53" s="21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</row>
    <row r="54" spans="1:24" ht="16.8" x14ac:dyDescent="0.3">
      <c r="A54" s="46"/>
      <c r="B54" s="46"/>
      <c r="C54" s="45" t="s">
        <v>149</v>
      </c>
      <c r="D54" s="45"/>
      <c r="E54" s="42" t="s">
        <v>126</v>
      </c>
      <c r="F54" s="42"/>
      <c r="G54" s="20">
        <v>3</v>
      </c>
      <c r="H54" s="20">
        <v>2</v>
      </c>
      <c r="I54" s="20">
        <v>2</v>
      </c>
      <c r="J54" s="20">
        <v>2</v>
      </c>
      <c r="K54" s="20">
        <v>2</v>
      </c>
      <c r="L54" s="20">
        <v>2</v>
      </c>
      <c r="M54" s="20">
        <v>2</v>
      </c>
      <c r="N54" s="20">
        <v>2</v>
      </c>
      <c r="O54" s="20">
        <v>2</v>
      </c>
      <c r="P54" s="20">
        <v>2</v>
      </c>
      <c r="Q54" s="20">
        <v>2</v>
      </c>
      <c r="R54" s="21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</row>
    <row r="55" spans="1:24" ht="16.8" x14ac:dyDescent="0.3">
      <c r="A55" s="46"/>
      <c r="B55" s="46"/>
      <c r="C55" s="40"/>
      <c r="D55" s="41"/>
      <c r="E55" s="40"/>
      <c r="F55" s="41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3">
        <v>1</v>
      </c>
      <c r="S55" s="20"/>
      <c r="T55" s="20"/>
      <c r="U55" s="20"/>
      <c r="V55" s="20"/>
      <c r="W55" s="20"/>
      <c r="X55" s="20"/>
    </row>
    <row r="56" spans="1:24" ht="16.8" x14ac:dyDescent="0.3">
      <c r="A56" s="46"/>
      <c r="B56" s="46"/>
      <c r="C56" s="45" t="s">
        <v>61</v>
      </c>
      <c r="D56" s="45"/>
      <c r="E56" s="42" t="s">
        <v>124</v>
      </c>
      <c r="F56" s="42"/>
      <c r="G56" s="20">
        <v>3</v>
      </c>
      <c r="H56" s="20">
        <v>2</v>
      </c>
      <c r="I56" s="20">
        <v>2</v>
      </c>
      <c r="J56" s="20">
        <v>2</v>
      </c>
      <c r="K56" s="20">
        <v>2</v>
      </c>
      <c r="L56" s="20">
        <v>2</v>
      </c>
      <c r="M56" s="20">
        <v>2</v>
      </c>
      <c r="N56" s="20">
        <v>2</v>
      </c>
      <c r="O56" s="20">
        <v>2</v>
      </c>
      <c r="P56" s="20">
        <v>2</v>
      </c>
      <c r="Q56" s="20">
        <v>2</v>
      </c>
      <c r="R56" s="21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</row>
    <row r="57" spans="1:24" ht="16.8" x14ac:dyDescent="0.3">
      <c r="A57" s="46"/>
      <c r="B57" s="46"/>
      <c r="C57" s="40"/>
      <c r="D57" s="41"/>
      <c r="E57" s="40"/>
      <c r="F57" s="41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3">
        <v>1</v>
      </c>
      <c r="S57" s="20"/>
      <c r="T57" s="20"/>
      <c r="U57" s="20"/>
      <c r="V57" s="20"/>
      <c r="W57" s="20"/>
      <c r="X57" s="20"/>
    </row>
    <row r="58" spans="1:24" ht="16.8" x14ac:dyDescent="0.3">
      <c r="A58" s="46"/>
      <c r="B58" s="46"/>
      <c r="C58" s="45" t="s">
        <v>150</v>
      </c>
      <c r="D58" s="45"/>
      <c r="E58" s="42" t="s">
        <v>127</v>
      </c>
      <c r="F58" s="42"/>
      <c r="G58" s="20">
        <v>3</v>
      </c>
      <c r="H58" s="20">
        <v>2</v>
      </c>
      <c r="I58" s="20">
        <v>2</v>
      </c>
      <c r="J58" s="20">
        <v>2</v>
      </c>
      <c r="K58" s="20">
        <v>2</v>
      </c>
      <c r="L58" s="20">
        <v>2</v>
      </c>
      <c r="M58" s="20">
        <v>2</v>
      </c>
      <c r="N58" s="20">
        <v>2</v>
      </c>
      <c r="O58" s="20">
        <v>2</v>
      </c>
      <c r="P58" s="20">
        <v>2</v>
      </c>
      <c r="Q58" s="20">
        <v>2</v>
      </c>
      <c r="R58" s="21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</row>
    <row r="59" spans="1:24" ht="16.8" x14ac:dyDescent="0.3">
      <c r="A59" s="46"/>
      <c r="B59" s="46"/>
      <c r="C59" s="42"/>
      <c r="D59" s="42"/>
      <c r="E59" s="42"/>
      <c r="F59" s="42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3">
        <v>1</v>
      </c>
      <c r="S59" s="20"/>
      <c r="T59" s="20"/>
      <c r="U59" s="10"/>
      <c r="V59" s="10"/>
      <c r="W59" s="20"/>
      <c r="X59" s="20"/>
    </row>
    <row r="60" spans="1:24" ht="16.8" x14ac:dyDescent="0.3">
      <c r="A60" s="46"/>
      <c r="B60" s="46"/>
      <c r="C60" s="45" t="s">
        <v>62</v>
      </c>
      <c r="D60" s="45"/>
      <c r="E60" s="42" t="s">
        <v>124</v>
      </c>
      <c r="F60" s="42"/>
      <c r="G60" s="20">
        <v>2</v>
      </c>
      <c r="H60" s="20">
        <v>2</v>
      </c>
      <c r="I60" s="20">
        <v>2</v>
      </c>
      <c r="J60" s="20">
        <v>2</v>
      </c>
      <c r="K60" s="20">
        <v>2</v>
      </c>
      <c r="L60" s="20">
        <v>2</v>
      </c>
      <c r="M60" s="20">
        <v>2</v>
      </c>
      <c r="N60" s="20">
        <v>2</v>
      </c>
      <c r="O60" s="20">
        <v>2</v>
      </c>
      <c r="P60" s="20">
        <v>2</v>
      </c>
      <c r="Q60" s="20">
        <v>2</v>
      </c>
      <c r="R60" s="21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</row>
    <row r="61" spans="1:24" ht="16.8" x14ac:dyDescent="0.3">
      <c r="A61" s="46"/>
      <c r="B61" s="46"/>
      <c r="C61" s="45" t="s">
        <v>151</v>
      </c>
      <c r="D61" s="45"/>
      <c r="E61" s="42" t="s">
        <v>126</v>
      </c>
      <c r="F61" s="42"/>
      <c r="G61" s="20">
        <v>2</v>
      </c>
      <c r="H61" s="20">
        <v>2</v>
      </c>
      <c r="I61" s="20">
        <v>2</v>
      </c>
      <c r="J61" s="20">
        <v>2</v>
      </c>
      <c r="K61" s="20">
        <v>2</v>
      </c>
      <c r="L61" s="20">
        <v>2</v>
      </c>
      <c r="M61" s="20">
        <v>2</v>
      </c>
      <c r="N61" s="20">
        <v>2</v>
      </c>
      <c r="O61" s="20">
        <v>2</v>
      </c>
      <c r="P61" s="20">
        <v>2</v>
      </c>
      <c r="Q61" s="20">
        <v>2</v>
      </c>
      <c r="R61" s="20">
        <v>2</v>
      </c>
      <c r="S61" s="21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</row>
    <row r="62" spans="1:24" ht="16.8" x14ac:dyDescent="0.3">
      <c r="A62" s="46"/>
      <c r="B62" s="46"/>
      <c r="C62" s="45" t="s">
        <v>63</v>
      </c>
      <c r="D62" s="45"/>
      <c r="E62" s="42" t="s">
        <v>124</v>
      </c>
      <c r="F62" s="42"/>
      <c r="G62" s="20">
        <v>3</v>
      </c>
      <c r="H62" s="20">
        <v>3</v>
      </c>
      <c r="I62" s="20">
        <v>3</v>
      </c>
      <c r="J62" s="20">
        <v>3</v>
      </c>
      <c r="K62" s="20">
        <v>3</v>
      </c>
      <c r="L62" s="20">
        <v>3</v>
      </c>
      <c r="M62" s="20">
        <v>3</v>
      </c>
      <c r="N62" s="20">
        <v>3</v>
      </c>
      <c r="O62" s="20">
        <v>3</v>
      </c>
      <c r="P62" s="20">
        <v>3</v>
      </c>
      <c r="Q62" s="20">
        <v>3</v>
      </c>
      <c r="R62" s="20">
        <v>3</v>
      </c>
      <c r="S62" s="21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</row>
    <row r="63" spans="1:24" ht="16.8" x14ac:dyDescent="0.3">
      <c r="A63" s="46"/>
      <c r="B63" s="46"/>
      <c r="C63" s="45" t="s">
        <v>223</v>
      </c>
      <c r="D63" s="45"/>
      <c r="E63" s="42" t="s">
        <v>127</v>
      </c>
      <c r="F63" s="42"/>
      <c r="G63" s="20">
        <v>2</v>
      </c>
      <c r="H63" s="20">
        <v>2</v>
      </c>
      <c r="I63" s="20">
        <v>2</v>
      </c>
      <c r="J63" s="20">
        <v>2</v>
      </c>
      <c r="K63" s="20">
        <v>2</v>
      </c>
      <c r="L63" s="20">
        <v>2</v>
      </c>
      <c r="M63" s="20">
        <v>2</v>
      </c>
      <c r="N63" s="20">
        <v>2</v>
      </c>
      <c r="O63" s="20">
        <v>2</v>
      </c>
      <c r="P63" s="20">
        <v>2</v>
      </c>
      <c r="Q63" s="20">
        <v>2</v>
      </c>
      <c r="R63" s="20">
        <v>2</v>
      </c>
      <c r="S63" s="21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</row>
    <row r="64" spans="1:24" ht="16.8" x14ac:dyDescent="0.3">
      <c r="A64" s="46"/>
      <c r="B64" s="46"/>
      <c r="C64" s="45" t="s">
        <v>224</v>
      </c>
      <c r="D64" s="45"/>
      <c r="E64" s="42" t="s">
        <v>124</v>
      </c>
      <c r="F64" s="42"/>
      <c r="G64" s="20">
        <v>2</v>
      </c>
      <c r="H64" s="20">
        <v>4</v>
      </c>
      <c r="I64" s="20">
        <v>4</v>
      </c>
      <c r="J64" s="20">
        <v>4</v>
      </c>
      <c r="K64" s="20">
        <v>4</v>
      </c>
      <c r="L64" s="20">
        <v>4</v>
      </c>
      <c r="M64" s="20">
        <v>4</v>
      </c>
      <c r="N64" s="20">
        <v>4</v>
      </c>
      <c r="O64" s="20">
        <v>4</v>
      </c>
      <c r="P64" s="20">
        <v>4</v>
      </c>
      <c r="Q64" s="20">
        <v>4</v>
      </c>
      <c r="R64" s="20">
        <v>2</v>
      </c>
      <c r="S64" s="21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</row>
    <row r="65" spans="1:24" ht="16.8" x14ac:dyDescent="0.3">
      <c r="A65" s="46"/>
      <c r="B65" s="46"/>
      <c r="C65" s="40"/>
      <c r="D65" s="41"/>
      <c r="E65" s="40"/>
      <c r="F65" s="41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2">
        <v>2</v>
      </c>
      <c r="T65" s="20"/>
      <c r="U65" s="20"/>
      <c r="V65" s="20"/>
      <c r="W65" s="20"/>
      <c r="X65" s="20"/>
    </row>
    <row r="66" spans="1:24" ht="16.8" x14ac:dyDescent="0.3">
      <c r="A66" s="46"/>
      <c r="B66" s="46"/>
      <c r="C66" s="45" t="s">
        <v>152</v>
      </c>
      <c r="D66" s="45"/>
      <c r="E66" s="42" t="s">
        <v>126</v>
      </c>
      <c r="F66" s="42"/>
      <c r="G66" s="20">
        <v>2</v>
      </c>
      <c r="H66" s="20">
        <v>2</v>
      </c>
      <c r="I66" s="20">
        <v>2</v>
      </c>
      <c r="J66" s="20">
        <v>2</v>
      </c>
      <c r="K66" s="20">
        <v>2</v>
      </c>
      <c r="L66" s="20">
        <v>2</v>
      </c>
      <c r="M66" s="20">
        <v>2</v>
      </c>
      <c r="N66" s="20">
        <v>2</v>
      </c>
      <c r="O66" s="20">
        <v>2</v>
      </c>
      <c r="P66" s="20">
        <v>2</v>
      </c>
      <c r="Q66" s="20">
        <v>2</v>
      </c>
      <c r="R66" s="20">
        <v>2</v>
      </c>
      <c r="S66" s="20">
        <v>2</v>
      </c>
      <c r="T66" s="21">
        <v>0</v>
      </c>
      <c r="U66" s="20">
        <v>0</v>
      </c>
      <c r="V66" s="20">
        <v>0</v>
      </c>
      <c r="W66" s="20">
        <v>0</v>
      </c>
      <c r="X66" s="20">
        <v>0</v>
      </c>
    </row>
    <row r="67" spans="1:24" ht="16.8" x14ac:dyDescent="0.3">
      <c r="A67" s="46"/>
      <c r="B67" s="46"/>
      <c r="C67" s="45" t="s">
        <v>76</v>
      </c>
      <c r="D67" s="45"/>
      <c r="E67" s="42" t="s">
        <v>124</v>
      </c>
      <c r="F67" s="42"/>
      <c r="G67" s="20">
        <v>3</v>
      </c>
      <c r="H67" s="20">
        <v>3</v>
      </c>
      <c r="I67" s="20">
        <v>3</v>
      </c>
      <c r="J67" s="20">
        <v>3</v>
      </c>
      <c r="K67" s="20">
        <v>3</v>
      </c>
      <c r="L67" s="20">
        <v>3</v>
      </c>
      <c r="M67" s="20">
        <v>3</v>
      </c>
      <c r="N67" s="20">
        <v>3</v>
      </c>
      <c r="O67" s="20">
        <v>3</v>
      </c>
      <c r="P67" s="20">
        <v>3</v>
      </c>
      <c r="Q67" s="20">
        <v>3</v>
      </c>
      <c r="R67" s="20">
        <v>3</v>
      </c>
      <c r="S67" s="20">
        <v>3</v>
      </c>
      <c r="T67" s="21">
        <v>0</v>
      </c>
      <c r="U67" s="20">
        <v>0</v>
      </c>
      <c r="V67" s="20">
        <v>0</v>
      </c>
      <c r="W67" s="20">
        <v>0</v>
      </c>
      <c r="X67" s="20">
        <v>0</v>
      </c>
    </row>
    <row r="68" spans="1:24" ht="16.8" x14ac:dyDescent="0.3">
      <c r="A68" s="46"/>
      <c r="B68" s="46"/>
      <c r="C68" s="45" t="s">
        <v>153</v>
      </c>
      <c r="D68" s="45"/>
      <c r="E68" s="42" t="s">
        <v>127</v>
      </c>
      <c r="F68" s="42"/>
      <c r="G68" s="20">
        <v>2</v>
      </c>
      <c r="H68" s="20">
        <v>2</v>
      </c>
      <c r="I68" s="20">
        <v>2</v>
      </c>
      <c r="J68" s="20">
        <v>2</v>
      </c>
      <c r="K68" s="20">
        <v>2</v>
      </c>
      <c r="L68" s="20">
        <v>2</v>
      </c>
      <c r="M68" s="20">
        <v>2</v>
      </c>
      <c r="N68" s="20">
        <v>2</v>
      </c>
      <c r="O68" s="20">
        <v>2</v>
      </c>
      <c r="P68" s="20">
        <v>2</v>
      </c>
      <c r="Q68" s="20">
        <v>2</v>
      </c>
      <c r="R68" s="20">
        <v>2</v>
      </c>
      <c r="S68" s="20">
        <v>2</v>
      </c>
      <c r="T68" s="21">
        <v>0</v>
      </c>
      <c r="U68" s="20">
        <v>0</v>
      </c>
      <c r="V68" s="20">
        <v>0</v>
      </c>
      <c r="W68" s="20">
        <v>0</v>
      </c>
      <c r="X68" s="20">
        <v>0</v>
      </c>
    </row>
    <row r="69" spans="1:24" ht="16.8" x14ac:dyDescent="0.3">
      <c r="A69" s="46"/>
      <c r="B69" s="46"/>
      <c r="C69" s="45" t="s">
        <v>77</v>
      </c>
      <c r="D69" s="45"/>
      <c r="E69" s="42" t="s">
        <v>124</v>
      </c>
      <c r="F69" s="42"/>
      <c r="G69" s="20">
        <v>3</v>
      </c>
      <c r="H69" s="20">
        <v>3</v>
      </c>
      <c r="I69" s="20">
        <v>3</v>
      </c>
      <c r="J69" s="20">
        <v>3</v>
      </c>
      <c r="K69" s="20">
        <v>3</v>
      </c>
      <c r="L69" s="20">
        <v>3</v>
      </c>
      <c r="M69" s="20">
        <v>3</v>
      </c>
      <c r="N69" s="20">
        <v>3</v>
      </c>
      <c r="O69" s="20">
        <v>3</v>
      </c>
      <c r="P69" s="20">
        <v>3</v>
      </c>
      <c r="Q69" s="20">
        <v>3</v>
      </c>
      <c r="R69" s="20">
        <v>3</v>
      </c>
      <c r="S69" s="20">
        <v>3</v>
      </c>
      <c r="T69" s="21">
        <v>0</v>
      </c>
      <c r="U69" s="20">
        <v>0</v>
      </c>
      <c r="V69" s="20">
        <v>0</v>
      </c>
      <c r="W69" s="20">
        <v>0</v>
      </c>
      <c r="X69" s="20">
        <v>0</v>
      </c>
    </row>
    <row r="70" spans="1:24" ht="16.8" x14ac:dyDescent="0.3">
      <c r="A70" s="46"/>
      <c r="B70" s="46"/>
      <c r="C70" s="45" t="s">
        <v>22</v>
      </c>
      <c r="D70" s="45"/>
      <c r="E70" s="42" t="s">
        <v>47</v>
      </c>
      <c r="F70" s="42"/>
      <c r="G70" s="20">
        <v>5</v>
      </c>
      <c r="H70" s="20">
        <v>7</v>
      </c>
      <c r="I70" s="20">
        <v>7</v>
      </c>
      <c r="J70" s="20">
        <v>7</v>
      </c>
      <c r="K70" s="20">
        <v>7</v>
      </c>
      <c r="L70" s="20">
        <v>7</v>
      </c>
      <c r="M70" s="20">
        <v>7</v>
      </c>
      <c r="N70" s="20">
        <v>7</v>
      </c>
      <c r="O70" s="20">
        <v>7</v>
      </c>
      <c r="P70" s="20">
        <v>7</v>
      </c>
      <c r="Q70" s="20">
        <v>7</v>
      </c>
      <c r="R70" s="20">
        <v>7</v>
      </c>
      <c r="S70" s="20">
        <v>5</v>
      </c>
      <c r="T70" s="21">
        <v>0</v>
      </c>
      <c r="U70" s="20">
        <v>0</v>
      </c>
      <c r="V70" s="20">
        <v>0</v>
      </c>
      <c r="W70" s="20">
        <v>0</v>
      </c>
      <c r="X70" s="20">
        <v>0</v>
      </c>
    </row>
    <row r="71" spans="1:24" ht="16.8" x14ac:dyDescent="0.3">
      <c r="A71" s="46"/>
      <c r="B71" s="37"/>
      <c r="C71" s="40"/>
      <c r="D71" s="41"/>
      <c r="E71" s="40"/>
      <c r="F71" s="41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2">
        <v>2</v>
      </c>
      <c r="U71" s="20"/>
      <c r="V71" s="20"/>
      <c r="W71" s="20"/>
      <c r="X71" s="20"/>
    </row>
    <row r="72" spans="1:24" ht="16.8" x14ac:dyDescent="0.3">
      <c r="A72" s="46"/>
      <c r="B72" s="46" t="s">
        <v>25</v>
      </c>
      <c r="C72" s="45" t="s">
        <v>24</v>
      </c>
      <c r="D72" s="45"/>
      <c r="E72" s="42" t="s">
        <v>85</v>
      </c>
      <c r="F72" s="42"/>
      <c r="G72" s="20">
        <v>1</v>
      </c>
      <c r="H72" s="20">
        <v>1</v>
      </c>
      <c r="I72" s="20">
        <v>1</v>
      </c>
      <c r="J72" s="20">
        <v>1</v>
      </c>
      <c r="K72" s="20">
        <v>1</v>
      </c>
      <c r="L72" s="20">
        <v>1</v>
      </c>
      <c r="M72" s="20">
        <v>1</v>
      </c>
      <c r="N72" s="20">
        <v>1</v>
      </c>
      <c r="O72" s="20">
        <v>1</v>
      </c>
      <c r="P72" s="20">
        <v>1</v>
      </c>
      <c r="Q72" s="20">
        <v>1</v>
      </c>
      <c r="R72" s="20">
        <v>1</v>
      </c>
      <c r="S72" s="20">
        <v>1</v>
      </c>
      <c r="T72" s="20">
        <v>1</v>
      </c>
      <c r="U72" s="21">
        <v>0</v>
      </c>
      <c r="V72" s="20">
        <v>0</v>
      </c>
      <c r="W72" s="20">
        <v>0</v>
      </c>
      <c r="X72" s="20">
        <v>0</v>
      </c>
    </row>
    <row r="73" spans="1:24" ht="16.8" x14ac:dyDescent="0.3">
      <c r="A73" s="46"/>
      <c r="B73" s="46"/>
      <c r="C73" s="45" t="s">
        <v>57</v>
      </c>
      <c r="D73" s="45"/>
      <c r="E73" s="42" t="s">
        <v>123</v>
      </c>
      <c r="F73" s="42"/>
      <c r="G73" s="20">
        <v>1</v>
      </c>
      <c r="H73" s="20">
        <v>1</v>
      </c>
      <c r="I73" s="20">
        <v>1</v>
      </c>
      <c r="J73" s="20">
        <v>1</v>
      </c>
      <c r="K73" s="20">
        <v>1</v>
      </c>
      <c r="L73" s="20">
        <v>1</v>
      </c>
      <c r="M73" s="20">
        <v>1</v>
      </c>
      <c r="N73" s="20">
        <v>1</v>
      </c>
      <c r="O73" s="20">
        <v>1</v>
      </c>
      <c r="P73" s="20">
        <v>1</v>
      </c>
      <c r="Q73" s="20">
        <v>1</v>
      </c>
      <c r="R73" s="20">
        <v>1</v>
      </c>
      <c r="S73" s="20">
        <v>1</v>
      </c>
      <c r="T73" s="20">
        <v>1</v>
      </c>
      <c r="U73" s="21">
        <v>0</v>
      </c>
      <c r="V73" s="20">
        <v>0</v>
      </c>
      <c r="W73" s="20">
        <v>0</v>
      </c>
      <c r="X73" s="20">
        <v>0</v>
      </c>
    </row>
    <row r="74" spans="1:24" ht="16.8" x14ac:dyDescent="0.3">
      <c r="A74" s="46"/>
      <c r="B74" s="46"/>
      <c r="C74" s="43" t="s">
        <v>64</v>
      </c>
      <c r="D74" s="44"/>
      <c r="E74" s="42" t="s">
        <v>128</v>
      </c>
      <c r="F74" s="42"/>
      <c r="G74" s="20">
        <v>2</v>
      </c>
      <c r="H74" s="20">
        <v>1</v>
      </c>
      <c r="I74" s="20">
        <v>1</v>
      </c>
      <c r="J74" s="20">
        <v>1</v>
      </c>
      <c r="K74" s="20">
        <v>1</v>
      </c>
      <c r="L74" s="20">
        <v>1</v>
      </c>
      <c r="M74" s="20">
        <v>1</v>
      </c>
      <c r="N74" s="20">
        <v>1</v>
      </c>
      <c r="O74" s="20">
        <v>1</v>
      </c>
      <c r="P74" s="20">
        <v>1</v>
      </c>
      <c r="Q74" s="20">
        <v>1</v>
      </c>
      <c r="R74" s="20">
        <v>1</v>
      </c>
      <c r="S74" s="20">
        <v>1</v>
      </c>
      <c r="T74" s="20">
        <v>1</v>
      </c>
      <c r="U74" s="21">
        <v>0</v>
      </c>
      <c r="V74" s="20">
        <v>0</v>
      </c>
      <c r="W74" s="20">
        <v>0</v>
      </c>
      <c r="X74" s="20">
        <v>0</v>
      </c>
    </row>
    <row r="75" spans="1:24" ht="16.8" x14ac:dyDescent="0.3">
      <c r="A75" s="46"/>
      <c r="B75" s="46"/>
      <c r="C75" s="40"/>
      <c r="D75" s="41"/>
      <c r="E75" s="40"/>
      <c r="F75" s="41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3">
        <v>1</v>
      </c>
      <c r="V75" s="20"/>
      <c r="W75" s="20"/>
      <c r="X75" s="20"/>
    </row>
    <row r="76" spans="1:24" ht="16.8" x14ac:dyDescent="0.3">
      <c r="A76" s="46"/>
      <c r="B76" s="46"/>
      <c r="C76" s="45" t="s">
        <v>65</v>
      </c>
      <c r="D76" s="45"/>
      <c r="E76" s="42" t="s">
        <v>122</v>
      </c>
      <c r="F76" s="42"/>
      <c r="G76" s="20">
        <v>2</v>
      </c>
      <c r="H76" s="20">
        <v>1</v>
      </c>
      <c r="I76" s="20">
        <v>1</v>
      </c>
      <c r="J76" s="20">
        <v>1</v>
      </c>
      <c r="K76" s="20">
        <v>1</v>
      </c>
      <c r="L76" s="20">
        <v>1</v>
      </c>
      <c r="M76" s="20">
        <v>1</v>
      </c>
      <c r="N76" s="20">
        <v>1</v>
      </c>
      <c r="O76" s="20">
        <v>1</v>
      </c>
      <c r="P76" s="20">
        <v>1</v>
      </c>
      <c r="Q76" s="20">
        <v>1</v>
      </c>
      <c r="R76" s="20">
        <v>1</v>
      </c>
      <c r="S76" s="20">
        <v>1</v>
      </c>
      <c r="T76" s="20">
        <v>1</v>
      </c>
      <c r="U76" s="21">
        <v>0</v>
      </c>
      <c r="V76" s="20">
        <v>0</v>
      </c>
      <c r="W76" s="20">
        <v>0</v>
      </c>
      <c r="X76" s="20">
        <v>0</v>
      </c>
    </row>
    <row r="77" spans="1:24" ht="16.8" x14ac:dyDescent="0.3">
      <c r="A77" s="46"/>
      <c r="B77" s="46"/>
      <c r="C77" s="40"/>
      <c r="D77" s="41"/>
      <c r="E77" s="40"/>
      <c r="F77" s="41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3">
        <v>1</v>
      </c>
      <c r="V77" s="20"/>
      <c r="W77" s="20"/>
      <c r="X77" s="20"/>
    </row>
    <row r="78" spans="1:24" ht="16.8" x14ac:dyDescent="0.3">
      <c r="A78" s="46"/>
      <c r="B78" s="46"/>
      <c r="C78" s="45" t="s">
        <v>66</v>
      </c>
      <c r="D78" s="45"/>
      <c r="E78" s="42" t="s">
        <v>122</v>
      </c>
      <c r="F78" s="42"/>
      <c r="G78" s="20">
        <v>1</v>
      </c>
      <c r="H78" s="20">
        <v>1</v>
      </c>
      <c r="I78" s="20">
        <v>1</v>
      </c>
      <c r="J78" s="20">
        <v>1</v>
      </c>
      <c r="K78" s="20">
        <v>1</v>
      </c>
      <c r="L78" s="20">
        <v>1</v>
      </c>
      <c r="M78" s="20">
        <v>1</v>
      </c>
      <c r="N78" s="20">
        <v>1</v>
      </c>
      <c r="O78" s="20">
        <v>1</v>
      </c>
      <c r="P78" s="20">
        <v>1</v>
      </c>
      <c r="Q78" s="20">
        <v>1</v>
      </c>
      <c r="R78" s="20">
        <v>1</v>
      </c>
      <c r="S78" s="20">
        <v>1</v>
      </c>
      <c r="T78" s="20">
        <v>1</v>
      </c>
      <c r="U78" s="21">
        <v>0</v>
      </c>
      <c r="V78" s="20">
        <v>0</v>
      </c>
      <c r="W78" s="20">
        <v>0</v>
      </c>
      <c r="X78" s="20">
        <v>0</v>
      </c>
    </row>
    <row r="79" spans="1:24" ht="16.8" x14ac:dyDescent="0.3">
      <c r="A79" s="46"/>
      <c r="B79" s="46"/>
      <c r="C79" s="45" t="s">
        <v>67</v>
      </c>
      <c r="D79" s="45"/>
      <c r="E79" s="42" t="s">
        <v>123</v>
      </c>
      <c r="F79" s="42"/>
      <c r="G79" s="20">
        <v>1</v>
      </c>
      <c r="H79" s="20">
        <v>1</v>
      </c>
      <c r="I79" s="20">
        <v>1</v>
      </c>
      <c r="J79" s="20">
        <v>1</v>
      </c>
      <c r="K79" s="20">
        <v>1</v>
      </c>
      <c r="L79" s="20">
        <v>1</v>
      </c>
      <c r="M79" s="20">
        <v>1</v>
      </c>
      <c r="N79" s="20">
        <v>1</v>
      </c>
      <c r="O79" s="20">
        <v>1</v>
      </c>
      <c r="P79" s="20">
        <v>1</v>
      </c>
      <c r="Q79" s="20">
        <v>1</v>
      </c>
      <c r="R79" s="20">
        <v>1</v>
      </c>
      <c r="S79" s="20">
        <v>1</v>
      </c>
      <c r="T79" s="20">
        <v>1</v>
      </c>
      <c r="U79" s="21">
        <v>0</v>
      </c>
      <c r="V79" s="20">
        <v>0</v>
      </c>
      <c r="W79" s="20">
        <v>0</v>
      </c>
      <c r="X79" s="20">
        <v>0</v>
      </c>
    </row>
    <row r="80" spans="1:24" ht="16.8" x14ac:dyDescent="0.3">
      <c r="A80" s="46"/>
      <c r="B80" s="46"/>
      <c r="C80" s="45" t="s">
        <v>225</v>
      </c>
      <c r="D80" s="45"/>
      <c r="E80" s="42" t="s">
        <v>128</v>
      </c>
      <c r="F80" s="42"/>
      <c r="G80" s="20">
        <v>1</v>
      </c>
      <c r="H80" s="20">
        <v>2</v>
      </c>
      <c r="I80" s="20">
        <v>2</v>
      </c>
      <c r="J80" s="20">
        <v>2</v>
      </c>
      <c r="K80" s="20">
        <v>2</v>
      </c>
      <c r="L80" s="20">
        <v>2</v>
      </c>
      <c r="M80" s="20">
        <v>2</v>
      </c>
      <c r="N80" s="20">
        <v>2</v>
      </c>
      <c r="O80" s="20">
        <v>2</v>
      </c>
      <c r="P80" s="20">
        <v>2</v>
      </c>
      <c r="Q80" s="20">
        <v>2</v>
      </c>
      <c r="R80" s="20">
        <v>2</v>
      </c>
      <c r="S80" s="20">
        <v>2</v>
      </c>
      <c r="T80" s="20">
        <v>1</v>
      </c>
      <c r="U80" s="21">
        <v>0</v>
      </c>
      <c r="V80" s="20">
        <v>0</v>
      </c>
      <c r="W80" s="20">
        <v>0</v>
      </c>
      <c r="X80" s="20">
        <v>0</v>
      </c>
    </row>
    <row r="81" spans="1:24" ht="16.8" x14ac:dyDescent="0.3">
      <c r="A81" s="46"/>
      <c r="B81" s="46"/>
      <c r="C81" s="45"/>
      <c r="D81" s="45"/>
      <c r="E81" s="42"/>
      <c r="F81" s="42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2">
        <v>1</v>
      </c>
      <c r="V81" s="20"/>
      <c r="W81" s="20"/>
      <c r="X81" s="20"/>
    </row>
    <row r="82" spans="1:24" ht="16.8" x14ac:dyDescent="0.3">
      <c r="A82" s="46"/>
      <c r="B82" s="46"/>
      <c r="C82" s="45" t="s">
        <v>78</v>
      </c>
      <c r="D82" s="45"/>
      <c r="E82" s="42" t="s">
        <v>85</v>
      </c>
      <c r="F82" s="42"/>
      <c r="G82" s="20">
        <v>1</v>
      </c>
      <c r="H82" s="20">
        <v>1</v>
      </c>
      <c r="I82" s="20">
        <v>1</v>
      </c>
      <c r="J82" s="20">
        <v>1</v>
      </c>
      <c r="K82" s="20">
        <v>1</v>
      </c>
      <c r="L82" s="20">
        <v>1</v>
      </c>
      <c r="M82" s="20">
        <v>1</v>
      </c>
      <c r="N82" s="20">
        <v>1</v>
      </c>
      <c r="O82" s="20">
        <v>1</v>
      </c>
      <c r="P82" s="20">
        <v>1</v>
      </c>
      <c r="Q82" s="20">
        <v>1</v>
      </c>
      <c r="R82" s="20">
        <v>1</v>
      </c>
      <c r="S82" s="20">
        <v>1</v>
      </c>
      <c r="T82" s="20">
        <v>1</v>
      </c>
      <c r="U82" s="21">
        <v>0</v>
      </c>
      <c r="V82" s="20">
        <v>0</v>
      </c>
      <c r="W82" s="20">
        <v>0</v>
      </c>
      <c r="X82" s="20">
        <v>0</v>
      </c>
    </row>
    <row r="83" spans="1:24" ht="16.8" x14ac:dyDescent="0.3">
      <c r="A83" s="46"/>
      <c r="B83" s="46"/>
      <c r="C83" s="45" t="s">
        <v>79</v>
      </c>
      <c r="D83" s="45"/>
      <c r="E83" s="42" t="s">
        <v>128</v>
      </c>
      <c r="F83" s="42"/>
      <c r="G83" s="20">
        <v>1</v>
      </c>
      <c r="H83" s="20">
        <v>1</v>
      </c>
      <c r="I83" s="20">
        <v>1</v>
      </c>
      <c r="J83" s="20">
        <v>1</v>
      </c>
      <c r="K83" s="20">
        <v>1</v>
      </c>
      <c r="L83" s="20">
        <v>1</v>
      </c>
      <c r="M83" s="20">
        <v>1</v>
      </c>
      <c r="N83" s="20">
        <v>1</v>
      </c>
      <c r="O83" s="20">
        <v>1</v>
      </c>
      <c r="P83" s="20">
        <v>1</v>
      </c>
      <c r="Q83" s="20">
        <v>1</v>
      </c>
      <c r="R83" s="20">
        <v>1</v>
      </c>
      <c r="S83" s="20">
        <v>1</v>
      </c>
      <c r="T83" s="20">
        <v>1</v>
      </c>
      <c r="U83" s="21">
        <v>0</v>
      </c>
      <c r="V83" s="20">
        <v>0</v>
      </c>
      <c r="W83" s="20">
        <v>0</v>
      </c>
      <c r="X83" s="20">
        <v>0</v>
      </c>
    </row>
    <row r="84" spans="1:24" ht="16.8" x14ac:dyDescent="0.3">
      <c r="A84" s="46"/>
      <c r="B84" s="46" t="s">
        <v>27</v>
      </c>
      <c r="C84" s="45" t="s">
        <v>26</v>
      </c>
      <c r="D84" s="45"/>
      <c r="E84" s="42" t="s">
        <v>124</v>
      </c>
      <c r="F84" s="42"/>
      <c r="G84" s="20">
        <v>1</v>
      </c>
      <c r="H84" s="20">
        <v>1</v>
      </c>
      <c r="I84" s="20">
        <v>1</v>
      </c>
      <c r="J84" s="20">
        <v>1</v>
      </c>
      <c r="K84" s="20">
        <v>1</v>
      </c>
      <c r="L84" s="20">
        <v>1</v>
      </c>
      <c r="M84" s="20">
        <v>1</v>
      </c>
      <c r="N84" s="20">
        <v>1</v>
      </c>
      <c r="O84" s="20">
        <v>1</v>
      </c>
      <c r="P84" s="20">
        <v>1</v>
      </c>
      <c r="Q84" s="20">
        <v>1</v>
      </c>
      <c r="R84" s="20">
        <v>1</v>
      </c>
      <c r="S84" s="20">
        <v>1</v>
      </c>
      <c r="T84" s="20">
        <v>1</v>
      </c>
      <c r="U84" s="20">
        <v>1</v>
      </c>
      <c r="V84" s="21">
        <v>0</v>
      </c>
      <c r="W84" s="20">
        <v>0</v>
      </c>
      <c r="X84" s="20">
        <v>0</v>
      </c>
    </row>
    <row r="85" spans="1:24" ht="16.8" x14ac:dyDescent="0.3">
      <c r="A85" s="46"/>
      <c r="B85" s="46"/>
      <c r="C85" s="45" t="s">
        <v>58</v>
      </c>
      <c r="D85" s="45"/>
      <c r="E85" s="42" t="s">
        <v>124</v>
      </c>
      <c r="F85" s="42"/>
      <c r="G85" s="20">
        <v>1</v>
      </c>
      <c r="H85" s="20">
        <v>1</v>
      </c>
      <c r="I85" s="20">
        <v>1</v>
      </c>
      <c r="J85" s="20">
        <v>1</v>
      </c>
      <c r="K85" s="20">
        <v>1</v>
      </c>
      <c r="L85" s="20">
        <v>1</v>
      </c>
      <c r="M85" s="20">
        <v>1</v>
      </c>
      <c r="N85" s="20">
        <v>1</v>
      </c>
      <c r="O85" s="20">
        <v>1</v>
      </c>
      <c r="P85" s="20">
        <v>1</v>
      </c>
      <c r="Q85" s="20">
        <v>1</v>
      </c>
      <c r="R85" s="20">
        <v>1</v>
      </c>
      <c r="S85" s="20">
        <v>1</v>
      </c>
      <c r="T85" s="20">
        <v>1</v>
      </c>
      <c r="U85" s="20">
        <v>1</v>
      </c>
      <c r="V85" s="21">
        <v>0</v>
      </c>
      <c r="W85" s="20">
        <v>0</v>
      </c>
      <c r="X85" s="20">
        <v>0</v>
      </c>
    </row>
    <row r="86" spans="1:24" ht="16.8" x14ac:dyDescent="0.3">
      <c r="A86" s="46"/>
      <c r="B86" s="46"/>
      <c r="C86" s="45" t="s">
        <v>68</v>
      </c>
      <c r="D86" s="45"/>
      <c r="E86" s="42" t="s">
        <v>124</v>
      </c>
      <c r="F86" s="42"/>
      <c r="G86" s="20">
        <v>2</v>
      </c>
      <c r="H86" s="20">
        <v>2</v>
      </c>
      <c r="I86" s="20">
        <v>2</v>
      </c>
      <c r="J86" s="20">
        <v>2</v>
      </c>
      <c r="K86" s="20">
        <v>2</v>
      </c>
      <c r="L86" s="20">
        <v>2</v>
      </c>
      <c r="M86" s="20">
        <v>2</v>
      </c>
      <c r="N86" s="20">
        <v>2</v>
      </c>
      <c r="O86" s="20">
        <v>2</v>
      </c>
      <c r="P86" s="20">
        <v>2</v>
      </c>
      <c r="Q86" s="20">
        <v>2</v>
      </c>
      <c r="R86" s="20">
        <v>2</v>
      </c>
      <c r="S86" s="20">
        <v>2</v>
      </c>
      <c r="T86" s="20">
        <v>2</v>
      </c>
      <c r="U86" s="20">
        <v>2</v>
      </c>
      <c r="V86" s="21">
        <v>0</v>
      </c>
      <c r="W86" s="20">
        <v>0</v>
      </c>
      <c r="X86" s="20">
        <v>0</v>
      </c>
    </row>
    <row r="87" spans="1:24" ht="16.8" x14ac:dyDescent="0.3">
      <c r="A87" s="46"/>
      <c r="B87" s="46"/>
      <c r="C87" s="45" t="s">
        <v>69</v>
      </c>
      <c r="D87" s="45"/>
      <c r="E87" s="42" t="s">
        <v>124</v>
      </c>
      <c r="F87" s="42"/>
      <c r="G87" s="20">
        <v>2</v>
      </c>
      <c r="H87" s="20">
        <v>2</v>
      </c>
      <c r="I87" s="20">
        <v>2</v>
      </c>
      <c r="J87" s="20">
        <v>2</v>
      </c>
      <c r="K87" s="20">
        <v>2</v>
      </c>
      <c r="L87" s="20">
        <v>2</v>
      </c>
      <c r="M87" s="20">
        <v>2</v>
      </c>
      <c r="N87" s="20">
        <v>2</v>
      </c>
      <c r="O87" s="20">
        <v>2</v>
      </c>
      <c r="P87" s="20">
        <v>2</v>
      </c>
      <c r="Q87" s="20">
        <v>2</v>
      </c>
      <c r="R87" s="20">
        <v>2</v>
      </c>
      <c r="S87" s="20">
        <v>2</v>
      </c>
      <c r="T87" s="20">
        <v>2</v>
      </c>
      <c r="U87" s="20">
        <v>2</v>
      </c>
      <c r="V87" s="21">
        <v>0</v>
      </c>
      <c r="W87" s="20">
        <v>0</v>
      </c>
      <c r="X87" s="20">
        <v>0</v>
      </c>
    </row>
    <row r="88" spans="1:24" ht="16.8" x14ac:dyDescent="0.3">
      <c r="A88" s="46"/>
      <c r="B88" s="46"/>
      <c r="C88" s="45" t="s">
        <v>70</v>
      </c>
      <c r="D88" s="45"/>
      <c r="E88" s="42" t="s">
        <v>122</v>
      </c>
      <c r="F88" s="42"/>
      <c r="G88" s="20">
        <v>1</v>
      </c>
      <c r="H88" s="20">
        <v>1</v>
      </c>
      <c r="I88" s="20">
        <v>1</v>
      </c>
      <c r="J88" s="20">
        <v>1</v>
      </c>
      <c r="K88" s="20">
        <v>1</v>
      </c>
      <c r="L88" s="20">
        <v>1</v>
      </c>
      <c r="M88" s="20">
        <v>1</v>
      </c>
      <c r="N88" s="20">
        <v>1</v>
      </c>
      <c r="O88" s="20">
        <v>1</v>
      </c>
      <c r="P88" s="20">
        <v>1</v>
      </c>
      <c r="Q88" s="20">
        <v>1</v>
      </c>
      <c r="R88" s="20">
        <v>1</v>
      </c>
      <c r="S88" s="20">
        <v>1</v>
      </c>
      <c r="T88" s="20">
        <v>1</v>
      </c>
      <c r="U88" s="20">
        <v>1</v>
      </c>
      <c r="V88" s="21">
        <v>0</v>
      </c>
      <c r="W88" s="20">
        <v>0</v>
      </c>
      <c r="X88" s="20">
        <v>0</v>
      </c>
    </row>
    <row r="89" spans="1:24" ht="16.8" x14ac:dyDescent="0.3">
      <c r="A89" s="46"/>
      <c r="B89" s="46"/>
      <c r="C89" s="47" t="s">
        <v>71</v>
      </c>
      <c r="D89" s="48"/>
      <c r="E89" s="42" t="s">
        <v>123</v>
      </c>
      <c r="F89" s="42"/>
      <c r="G89" s="20">
        <v>1</v>
      </c>
      <c r="H89" s="20">
        <v>1</v>
      </c>
      <c r="I89" s="20">
        <v>1</v>
      </c>
      <c r="J89" s="20">
        <v>1</v>
      </c>
      <c r="K89" s="20">
        <v>1</v>
      </c>
      <c r="L89" s="20">
        <v>1</v>
      </c>
      <c r="M89" s="20">
        <v>1</v>
      </c>
      <c r="N89" s="20">
        <v>1</v>
      </c>
      <c r="O89" s="20">
        <v>1</v>
      </c>
      <c r="P89" s="20">
        <v>1</v>
      </c>
      <c r="Q89" s="20">
        <v>1</v>
      </c>
      <c r="R89" s="20">
        <v>1</v>
      </c>
      <c r="S89" s="20">
        <v>1</v>
      </c>
      <c r="T89" s="20">
        <v>1</v>
      </c>
      <c r="U89" s="20">
        <v>1</v>
      </c>
      <c r="V89" s="21">
        <v>0</v>
      </c>
      <c r="W89" s="20">
        <v>0</v>
      </c>
      <c r="X89" s="20">
        <v>0</v>
      </c>
    </row>
    <row r="90" spans="1:24" ht="16.8" x14ac:dyDescent="0.3">
      <c r="A90" s="46"/>
      <c r="B90" s="46"/>
      <c r="C90" s="47" t="s">
        <v>226</v>
      </c>
      <c r="D90" s="48"/>
      <c r="E90" s="42" t="s">
        <v>85</v>
      </c>
      <c r="F90" s="42"/>
      <c r="G90" s="20">
        <v>2</v>
      </c>
      <c r="H90" s="20">
        <v>1</v>
      </c>
      <c r="I90" s="20">
        <v>1</v>
      </c>
      <c r="J90" s="20">
        <v>1</v>
      </c>
      <c r="K90" s="20">
        <v>1</v>
      </c>
      <c r="L90" s="20">
        <v>1</v>
      </c>
      <c r="M90" s="20">
        <v>1</v>
      </c>
      <c r="N90" s="20">
        <v>1</v>
      </c>
      <c r="O90" s="20">
        <v>1</v>
      </c>
      <c r="P90" s="20">
        <v>1</v>
      </c>
      <c r="Q90" s="20">
        <v>1</v>
      </c>
      <c r="R90" s="20">
        <v>1</v>
      </c>
      <c r="S90" s="20">
        <v>1</v>
      </c>
      <c r="T90" s="20">
        <v>1</v>
      </c>
      <c r="U90" s="20">
        <v>1</v>
      </c>
      <c r="V90" s="21">
        <v>0</v>
      </c>
      <c r="W90" s="20">
        <v>0</v>
      </c>
      <c r="X90" s="20">
        <v>0</v>
      </c>
    </row>
    <row r="91" spans="1:24" ht="16.8" x14ac:dyDescent="0.3">
      <c r="A91" s="46"/>
      <c r="B91" s="46"/>
      <c r="C91" s="40"/>
      <c r="D91" s="41"/>
      <c r="E91" s="42"/>
      <c r="F91" s="42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3">
        <v>1</v>
      </c>
      <c r="W91" s="20"/>
      <c r="X91" s="20"/>
    </row>
    <row r="92" spans="1:24" ht="16.8" x14ac:dyDescent="0.3">
      <c r="A92" s="46"/>
      <c r="B92" s="46"/>
      <c r="C92" s="47" t="s">
        <v>80</v>
      </c>
      <c r="D92" s="48"/>
      <c r="E92" s="42" t="s">
        <v>128</v>
      </c>
      <c r="F92" s="42"/>
      <c r="G92" s="20">
        <v>1</v>
      </c>
      <c r="H92" s="20">
        <v>1</v>
      </c>
      <c r="I92" s="20">
        <v>1</v>
      </c>
      <c r="J92" s="20">
        <v>1</v>
      </c>
      <c r="K92" s="20">
        <v>1</v>
      </c>
      <c r="L92" s="20">
        <v>1</v>
      </c>
      <c r="M92" s="20">
        <v>1</v>
      </c>
      <c r="N92" s="20">
        <v>1</v>
      </c>
      <c r="O92" s="20">
        <v>1</v>
      </c>
      <c r="P92" s="20">
        <v>1</v>
      </c>
      <c r="Q92" s="20">
        <v>1</v>
      </c>
      <c r="R92" s="20">
        <v>1</v>
      </c>
      <c r="S92" s="20">
        <v>1</v>
      </c>
      <c r="T92" s="20">
        <v>1</v>
      </c>
      <c r="U92" s="20">
        <v>1</v>
      </c>
      <c r="V92" s="21">
        <v>0</v>
      </c>
      <c r="W92" s="20">
        <v>0</v>
      </c>
      <c r="X92" s="20">
        <v>0</v>
      </c>
    </row>
    <row r="93" spans="1:24" ht="16.8" x14ac:dyDescent="0.3">
      <c r="A93" s="46"/>
      <c r="B93" s="46"/>
      <c r="C93" s="47" t="s">
        <v>81</v>
      </c>
      <c r="D93" s="48"/>
      <c r="E93" s="42" t="s">
        <v>124</v>
      </c>
      <c r="F93" s="42"/>
      <c r="G93" s="20">
        <v>3</v>
      </c>
      <c r="H93" s="20">
        <v>2</v>
      </c>
      <c r="I93" s="20">
        <v>2</v>
      </c>
      <c r="J93" s="20">
        <v>2</v>
      </c>
      <c r="K93" s="20">
        <v>2</v>
      </c>
      <c r="L93" s="20">
        <v>2</v>
      </c>
      <c r="M93" s="20">
        <v>2</v>
      </c>
      <c r="N93" s="20">
        <v>2</v>
      </c>
      <c r="O93" s="20">
        <v>2</v>
      </c>
      <c r="P93" s="20">
        <v>2</v>
      </c>
      <c r="Q93" s="20">
        <v>2</v>
      </c>
      <c r="R93" s="20">
        <v>2</v>
      </c>
      <c r="S93" s="20">
        <v>2</v>
      </c>
      <c r="T93" s="20">
        <v>2</v>
      </c>
      <c r="U93" s="20">
        <v>2</v>
      </c>
      <c r="V93" s="21">
        <v>0</v>
      </c>
      <c r="W93" s="20">
        <v>0</v>
      </c>
      <c r="X93" s="20">
        <v>0</v>
      </c>
    </row>
    <row r="94" spans="1:24" ht="16.8" x14ac:dyDescent="0.3">
      <c r="A94" s="46"/>
      <c r="B94" s="46"/>
      <c r="C94" s="52"/>
      <c r="D94" s="52"/>
      <c r="E94" s="52"/>
      <c r="F94" s="52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23">
        <v>1</v>
      </c>
      <c r="W94" s="10"/>
      <c r="X94" s="10"/>
    </row>
    <row r="95" spans="1:24" ht="16.8" x14ac:dyDescent="0.3">
      <c r="A95" s="46"/>
      <c r="B95" s="46" t="s">
        <v>36</v>
      </c>
      <c r="C95" s="45" t="s">
        <v>37</v>
      </c>
      <c r="D95" s="45"/>
      <c r="E95" s="49" t="s">
        <v>85</v>
      </c>
      <c r="F95" s="50"/>
      <c r="G95" s="20">
        <v>1</v>
      </c>
      <c r="H95" s="20">
        <v>1</v>
      </c>
      <c r="I95" s="20">
        <v>1</v>
      </c>
      <c r="J95" s="20">
        <v>1</v>
      </c>
      <c r="K95" s="20">
        <v>1</v>
      </c>
      <c r="L95" s="20">
        <v>1</v>
      </c>
      <c r="M95" s="20">
        <v>1</v>
      </c>
      <c r="N95" s="20">
        <v>1</v>
      </c>
      <c r="O95" s="20">
        <v>1</v>
      </c>
      <c r="P95" s="20">
        <v>1</v>
      </c>
      <c r="Q95" s="20">
        <v>1</v>
      </c>
      <c r="R95" s="20">
        <v>1</v>
      </c>
      <c r="S95" s="20">
        <v>1</v>
      </c>
      <c r="T95" s="20">
        <v>1</v>
      </c>
      <c r="U95" s="20">
        <v>1</v>
      </c>
      <c r="V95" s="20">
        <v>1</v>
      </c>
      <c r="W95" s="21">
        <v>0</v>
      </c>
      <c r="X95" s="20">
        <v>0</v>
      </c>
    </row>
    <row r="96" spans="1:24" ht="16.8" x14ac:dyDescent="0.3">
      <c r="A96" s="46"/>
      <c r="B96" s="46"/>
      <c r="C96" s="45" t="s">
        <v>59</v>
      </c>
      <c r="D96" s="45"/>
      <c r="E96" s="49" t="s">
        <v>123</v>
      </c>
      <c r="F96" s="50"/>
      <c r="G96" s="20">
        <v>1</v>
      </c>
      <c r="H96" s="20">
        <v>1</v>
      </c>
      <c r="I96" s="20">
        <v>1</v>
      </c>
      <c r="J96" s="20">
        <v>1</v>
      </c>
      <c r="K96" s="20">
        <v>1</v>
      </c>
      <c r="L96" s="20">
        <v>1</v>
      </c>
      <c r="M96" s="20">
        <v>1</v>
      </c>
      <c r="N96" s="20">
        <v>1</v>
      </c>
      <c r="O96" s="20">
        <v>1</v>
      </c>
      <c r="P96" s="20">
        <v>1</v>
      </c>
      <c r="Q96" s="20">
        <v>1</v>
      </c>
      <c r="R96" s="20">
        <v>1</v>
      </c>
      <c r="S96" s="20">
        <v>1</v>
      </c>
      <c r="T96" s="20">
        <v>1</v>
      </c>
      <c r="U96" s="20">
        <v>1</v>
      </c>
      <c r="V96" s="20">
        <v>1</v>
      </c>
      <c r="W96" s="21">
        <v>0</v>
      </c>
      <c r="X96" s="20">
        <v>0</v>
      </c>
    </row>
    <row r="97" spans="1:24" ht="16.8" x14ac:dyDescent="0.3">
      <c r="A97" s="46"/>
      <c r="B97" s="46"/>
      <c r="C97" s="45" t="s">
        <v>72</v>
      </c>
      <c r="D97" s="45"/>
      <c r="E97" s="49" t="s">
        <v>128</v>
      </c>
      <c r="F97" s="50"/>
      <c r="G97" s="20">
        <v>1</v>
      </c>
      <c r="H97" s="20">
        <v>1</v>
      </c>
      <c r="I97" s="20">
        <v>1</v>
      </c>
      <c r="J97" s="20">
        <v>1</v>
      </c>
      <c r="K97" s="20">
        <v>1</v>
      </c>
      <c r="L97" s="20">
        <v>1</v>
      </c>
      <c r="M97" s="20">
        <v>1</v>
      </c>
      <c r="N97" s="20">
        <v>1</v>
      </c>
      <c r="O97" s="20">
        <v>1</v>
      </c>
      <c r="P97" s="20">
        <v>1</v>
      </c>
      <c r="Q97" s="20">
        <v>1</v>
      </c>
      <c r="R97" s="20">
        <v>1</v>
      </c>
      <c r="S97" s="20">
        <v>1</v>
      </c>
      <c r="T97" s="20">
        <v>1</v>
      </c>
      <c r="U97" s="20">
        <v>1</v>
      </c>
      <c r="V97" s="20">
        <v>1</v>
      </c>
      <c r="W97" s="21">
        <v>0</v>
      </c>
      <c r="X97" s="20">
        <v>0</v>
      </c>
    </row>
    <row r="98" spans="1:24" ht="16.8" x14ac:dyDescent="0.3">
      <c r="A98" s="46"/>
      <c r="B98" s="46"/>
      <c r="C98" s="45" t="s">
        <v>73</v>
      </c>
      <c r="D98" s="45"/>
      <c r="E98" s="49" t="s">
        <v>122</v>
      </c>
      <c r="F98" s="50"/>
      <c r="G98" s="20">
        <v>1</v>
      </c>
      <c r="H98" s="20">
        <v>2</v>
      </c>
      <c r="I98" s="20">
        <v>2</v>
      </c>
      <c r="J98" s="20">
        <v>2</v>
      </c>
      <c r="K98" s="20">
        <v>2</v>
      </c>
      <c r="L98" s="20">
        <v>2</v>
      </c>
      <c r="M98" s="20">
        <v>2</v>
      </c>
      <c r="N98" s="20">
        <v>2</v>
      </c>
      <c r="O98" s="20">
        <v>2</v>
      </c>
      <c r="P98" s="20">
        <v>2</v>
      </c>
      <c r="Q98" s="20">
        <v>2</v>
      </c>
      <c r="R98" s="20">
        <v>2</v>
      </c>
      <c r="S98" s="20">
        <v>2</v>
      </c>
      <c r="T98" s="20">
        <v>2</v>
      </c>
      <c r="U98" s="20">
        <v>2</v>
      </c>
      <c r="V98" s="20">
        <v>1</v>
      </c>
      <c r="W98" s="21">
        <v>0</v>
      </c>
      <c r="X98" s="20">
        <v>0</v>
      </c>
    </row>
    <row r="99" spans="1:24" ht="16.8" x14ac:dyDescent="0.3">
      <c r="A99" s="46"/>
      <c r="B99" s="46"/>
      <c r="C99" s="42"/>
      <c r="D99" s="42"/>
      <c r="E99" s="49"/>
      <c r="F99" s="5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2">
        <v>1</v>
      </c>
      <c r="X99" s="20"/>
    </row>
    <row r="100" spans="1:24" ht="16.8" x14ac:dyDescent="0.3">
      <c r="A100" s="46"/>
      <c r="B100" s="46"/>
      <c r="C100" s="45" t="s">
        <v>74</v>
      </c>
      <c r="D100" s="45"/>
      <c r="E100" s="49" t="s">
        <v>124</v>
      </c>
      <c r="F100" s="50"/>
      <c r="G100" s="20">
        <v>1</v>
      </c>
      <c r="H100" s="20">
        <v>1</v>
      </c>
      <c r="I100" s="20">
        <v>1</v>
      </c>
      <c r="J100" s="20">
        <v>1</v>
      </c>
      <c r="K100" s="20">
        <v>1</v>
      </c>
      <c r="L100" s="20">
        <v>1</v>
      </c>
      <c r="M100" s="20">
        <v>1</v>
      </c>
      <c r="N100" s="20">
        <v>1</v>
      </c>
      <c r="O100" s="20">
        <v>1</v>
      </c>
      <c r="P100" s="20">
        <v>1</v>
      </c>
      <c r="Q100" s="20">
        <v>1</v>
      </c>
      <c r="R100" s="20">
        <v>1</v>
      </c>
      <c r="S100" s="20">
        <v>1</v>
      </c>
      <c r="T100" s="20">
        <v>1</v>
      </c>
      <c r="U100" s="20">
        <v>1</v>
      </c>
      <c r="V100" s="20">
        <v>1</v>
      </c>
      <c r="W100" s="21">
        <v>0</v>
      </c>
      <c r="X100" s="20">
        <v>0</v>
      </c>
    </row>
    <row r="101" spans="1:24" ht="16.8" x14ac:dyDescent="0.3">
      <c r="A101" s="46"/>
      <c r="B101" s="46"/>
      <c r="C101" s="43" t="s">
        <v>75</v>
      </c>
      <c r="D101" s="44"/>
      <c r="E101" s="49" t="s">
        <v>122</v>
      </c>
      <c r="F101" s="50"/>
      <c r="G101" s="20">
        <v>1</v>
      </c>
      <c r="H101" s="20">
        <v>1</v>
      </c>
      <c r="I101" s="20">
        <v>1</v>
      </c>
      <c r="J101" s="20">
        <v>1</v>
      </c>
      <c r="K101" s="20">
        <v>1</v>
      </c>
      <c r="L101" s="20">
        <v>1</v>
      </c>
      <c r="M101" s="20">
        <v>1</v>
      </c>
      <c r="N101" s="20">
        <v>1</v>
      </c>
      <c r="O101" s="20">
        <v>1</v>
      </c>
      <c r="P101" s="20">
        <v>1</v>
      </c>
      <c r="Q101" s="20">
        <v>1</v>
      </c>
      <c r="R101" s="20">
        <v>1</v>
      </c>
      <c r="S101" s="20">
        <v>1</v>
      </c>
      <c r="T101" s="20">
        <v>1</v>
      </c>
      <c r="U101" s="20">
        <v>1</v>
      </c>
      <c r="V101" s="20">
        <v>1</v>
      </c>
      <c r="W101" s="21">
        <v>0</v>
      </c>
      <c r="X101" s="20">
        <v>0</v>
      </c>
    </row>
    <row r="102" spans="1:24" ht="16.8" x14ac:dyDescent="0.3">
      <c r="A102" s="46"/>
      <c r="B102" s="46"/>
      <c r="C102" s="43" t="s">
        <v>227</v>
      </c>
      <c r="D102" s="44"/>
      <c r="E102" s="49" t="s">
        <v>123</v>
      </c>
      <c r="F102" s="50"/>
      <c r="G102" s="20">
        <v>2</v>
      </c>
      <c r="H102" s="20">
        <v>2</v>
      </c>
      <c r="I102" s="20">
        <v>2</v>
      </c>
      <c r="J102" s="20">
        <v>2</v>
      </c>
      <c r="K102" s="20">
        <v>2</v>
      </c>
      <c r="L102" s="20">
        <v>2</v>
      </c>
      <c r="M102" s="20">
        <v>2</v>
      </c>
      <c r="N102" s="20">
        <v>2</v>
      </c>
      <c r="O102" s="20">
        <v>2</v>
      </c>
      <c r="P102" s="20">
        <v>2</v>
      </c>
      <c r="Q102" s="20">
        <v>2</v>
      </c>
      <c r="R102" s="20">
        <v>2</v>
      </c>
      <c r="S102" s="20">
        <v>2</v>
      </c>
      <c r="T102" s="20">
        <v>2</v>
      </c>
      <c r="U102" s="20">
        <v>2</v>
      </c>
      <c r="V102" s="20">
        <v>2</v>
      </c>
      <c r="W102" s="21">
        <v>0</v>
      </c>
      <c r="X102" s="20">
        <v>0</v>
      </c>
    </row>
    <row r="103" spans="1:24" ht="16.8" x14ac:dyDescent="0.3">
      <c r="A103" s="46"/>
      <c r="B103" s="46"/>
      <c r="C103" s="43" t="s">
        <v>82</v>
      </c>
      <c r="D103" s="44"/>
      <c r="E103" s="49" t="s">
        <v>85</v>
      </c>
      <c r="F103" s="50"/>
      <c r="G103" s="20">
        <v>2</v>
      </c>
      <c r="H103" s="20">
        <v>1</v>
      </c>
      <c r="I103" s="20">
        <v>1</v>
      </c>
      <c r="J103" s="20">
        <v>1</v>
      </c>
      <c r="K103" s="20">
        <v>1</v>
      </c>
      <c r="L103" s="20">
        <v>1</v>
      </c>
      <c r="M103" s="20">
        <v>1</v>
      </c>
      <c r="N103" s="20">
        <v>1</v>
      </c>
      <c r="O103" s="20">
        <v>1</v>
      </c>
      <c r="P103" s="20">
        <v>1</v>
      </c>
      <c r="Q103" s="20">
        <v>1</v>
      </c>
      <c r="R103" s="20">
        <v>1</v>
      </c>
      <c r="S103" s="20">
        <v>1</v>
      </c>
      <c r="T103" s="20">
        <v>1</v>
      </c>
      <c r="U103" s="20">
        <v>1</v>
      </c>
      <c r="V103" s="20">
        <v>1</v>
      </c>
      <c r="W103" s="21">
        <v>0</v>
      </c>
      <c r="X103" s="20">
        <v>0</v>
      </c>
    </row>
    <row r="104" spans="1:24" ht="16.8" x14ac:dyDescent="0.3">
      <c r="A104" s="46"/>
      <c r="B104" s="46"/>
      <c r="C104" s="40"/>
      <c r="D104" s="41"/>
      <c r="E104" s="49"/>
      <c r="F104" s="5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3">
        <v>1</v>
      </c>
      <c r="X104" s="20"/>
    </row>
    <row r="105" spans="1:24" ht="16.8" x14ac:dyDescent="0.3">
      <c r="A105" s="46"/>
      <c r="B105" s="46"/>
      <c r="C105" s="43" t="s">
        <v>83</v>
      </c>
      <c r="D105" s="44"/>
      <c r="E105" s="49" t="s">
        <v>128</v>
      </c>
      <c r="F105" s="50"/>
      <c r="G105" s="20">
        <v>2</v>
      </c>
      <c r="H105" s="20">
        <v>2</v>
      </c>
      <c r="I105" s="20">
        <v>2</v>
      </c>
      <c r="J105" s="20">
        <v>2</v>
      </c>
      <c r="K105" s="20">
        <v>2</v>
      </c>
      <c r="L105" s="20">
        <v>2</v>
      </c>
      <c r="M105" s="20">
        <v>2</v>
      </c>
      <c r="N105" s="20">
        <v>2</v>
      </c>
      <c r="O105" s="20">
        <v>2</v>
      </c>
      <c r="P105" s="20">
        <v>2</v>
      </c>
      <c r="Q105" s="20">
        <v>2</v>
      </c>
      <c r="R105" s="20">
        <v>2</v>
      </c>
      <c r="S105" s="20">
        <v>2</v>
      </c>
      <c r="T105" s="20">
        <v>2</v>
      </c>
      <c r="U105" s="20">
        <v>2</v>
      </c>
      <c r="V105" s="20">
        <v>2</v>
      </c>
      <c r="W105" s="21">
        <v>0</v>
      </c>
      <c r="X105" s="20">
        <v>0</v>
      </c>
    </row>
    <row r="106" spans="1:24" ht="16.8" x14ac:dyDescent="0.3">
      <c r="A106" s="46"/>
      <c r="B106" s="46" t="s">
        <v>35</v>
      </c>
      <c r="C106" s="45" t="s">
        <v>38</v>
      </c>
      <c r="D106" s="45"/>
      <c r="E106" s="42" t="s">
        <v>47</v>
      </c>
      <c r="F106" s="42"/>
      <c r="G106" s="20">
        <v>5</v>
      </c>
      <c r="H106" s="20">
        <v>5</v>
      </c>
      <c r="I106" s="20">
        <v>5</v>
      </c>
      <c r="J106" s="20">
        <v>5</v>
      </c>
      <c r="K106" s="20">
        <v>5</v>
      </c>
      <c r="L106" s="20">
        <v>5</v>
      </c>
      <c r="M106" s="20">
        <v>5</v>
      </c>
      <c r="N106" s="20">
        <v>5</v>
      </c>
      <c r="O106" s="20">
        <v>5</v>
      </c>
      <c r="P106" s="20">
        <v>5</v>
      </c>
      <c r="Q106" s="20">
        <v>5</v>
      </c>
      <c r="R106" s="20">
        <v>5</v>
      </c>
      <c r="S106" s="20">
        <v>5</v>
      </c>
      <c r="T106" s="20">
        <v>5</v>
      </c>
      <c r="U106" s="20">
        <v>5</v>
      </c>
      <c r="V106" s="20">
        <v>5</v>
      </c>
      <c r="W106" s="20">
        <v>5</v>
      </c>
      <c r="X106" s="21">
        <v>0</v>
      </c>
    </row>
    <row r="107" spans="1:24" ht="16.8" x14ac:dyDescent="0.3">
      <c r="A107" s="46"/>
      <c r="B107" s="46"/>
      <c r="C107" s="45" t="s">
        <v>39</v>
      </c>
      <c r="D107" s="45"/>
      <c r="E107" s="42" t="s">
        <v>47</v>
      </c>
      <c r="F107" s="42"/>
      <c r="G107" s="20">
        <v>5</v>
      </c>
      <c r="H107" s="20">
        <v>5</v>
      </c>
      <c r="I107" s="20">
        <v>5</v>
      </c>
      <c r="J107" s="20">
        <v>5</v>
      </c>
      <c r="K107" s="20">
        <v>5</v>
      </c>
      <c r="L107" s="20">
        <v>5</v>
      </c>
      <c r="M107" s="20">
        <v>5</v>
      </c>
      <c r="N107" s="20">
        <v>5</v>
      </c>
      <c r="O107" s="20">
        <v>5</v>
      </c>
      <c r="P107" s="20">
        <v>5</v>
      </c>
      <c r="Q107" s="20">
        <v>5</v>
      </c>
      <c r="R107" s="20">
        <v>5</v>
      </c>
      <c r="S107" s="20">
        <v>5</v>
      </c>
      <c r="T107" s="20">
        <v>5</v>
      </c>
      <c r="U107" s="20">
        <v>5</v>
      </c>
      <c r="V107" s="20">
        <v>5</v>
      </c>
      <c r="W107" s="20">
        <v>5</v>
      </c>
      <c r="X107" s="21">
        <v>0</v>
      </c>
    </row>
    <row r="108" spans="1:24" ht="16.8" x14ac:dyDescent="0.3">
      <c r="A108" s="46"/>
      <c r="B108" s="58" t="s">
        <v>12</v>
      </c>
      <c r="C108" s="58"/>
      <c r="D108" s="58"/>
      <c r="E108" s="57" t="s">
        <v>11</v>
      </c>
      <c r="F108" s="57"/>
      <c r="G108" s="42">
        <f>SUM(G14:G107)</f>
        <v>157</v>
      </c>
      <c r="H108" s="42"/>
      <c r="I108" s="20">
        <f t="shared" ref="I108:X108" si="0">SUM(I14:I107)</f>
        <v>156</v>
      </c>
      <c r="J108" s="20">
        <f t="shared" si="0"/>
        <v>146</v>
      </c>
      <c r="K108" s="20">
        <f t="shared" si="0"/>
        <v>142</v>
      </c>
      <c r="L108" s="20">
        <f t="shared" si="0"/>
        <v>132</v>
      </c>
      <c r="M108" s="20">
        <f t="shared" si="0"/>
        <v>129</v>
      </c>
      <c r="N108" s="20">
        <f t="shared" si="0"/>
        <v>120</v>
      </c>
      <c r="O108" s="20">
        <f t="shared" si="0"/>
        <v>109</v>
      </c>
      <c r="P108" s="20">
        <f t="shared" si="0"/>
        <v>96</v>
      </c>
      <c r="Q108" s="20">
        <f t="shared" si="0"/>
        <v>84</v>
      </c>
      <c r="R108" s="20">
        <f t="shared" si="0"/>
        <v>73</v>
      </c>
      <c r="S108" s="20">
        <f t="shared" si="0"/>
        <v>61</v>
      </c>
      <c r="T108" s="20">
        <f t="shared" si="0"/>
        <v>45</v>
      </c>
      <c r="U108" s="20">
        <f t="shared" si="0"/>
        <v>37</v>
      </c>
      <c r="V108" s="20">
        <f t="shared" si="0"/>
        <v>23</v>
      </c>
      <c r="W108" s="20">
        <f t="shared" si="0"/>
        <v>12</v>
      </c>
      <c r="X108" s="20">
        <f t="shared" si="0"/>
        <v>0</v>
      </c>
    </row>
    <row r="109" spans="1:24" ht="16.8" x14ac:dyDescent="0.3">
      <c r="A109" s="46"/>
      <c r="B109" s="58"/>
      <c r="C109" s="58"/>
      <c r="D109" s="58"/>
      <c r="E109" s="57" t="s">
        <v>48</v>
      </c>
      <c r="F109" s="57"/>
      <c r="G109" s="42">
        <f>SUM(H14:H107)</f>
        <v>156</v>
      </c>
      <c r="H109" s="42"/>
      <c r="I109" s="20">
        <f>SUM(I14:I107)</f>
        <v>156</v>
      </c>
      <c r="J109" s="20">
        <f>SUM(J14:J107)</f>
        <v>146</v>
      </c>
      <c r="K109" s="20">
        <f>SUM(K14:K107)</f>
        <v>142</v>
      </c>
      <c r="L109" s="20">
        <f>SUM(L14:L107)+M21+M23+M25</f>
        <v>135</v>
      </c>
      <c r="M109" s="20">
        <f>SUM(M14:M107)-M21-M23-M25+N29+N31</f>
        <v>128</v>
      </c>
      <c r="N109" s="20">
        <f>SUM(N14:N107)-N29-N31-N33</f>
        <v>117</v>
      </c>
      <c r="O109" s="20">
        <f>SUM(O14:O107)-O37</f>
        <v>108</v>
      </c>
      <c r="P109" s="20">
        <f>SUM(P14:P107)-P46+Q52</f>
        <v>95</v>
      </c>
      <c r="Q109" s="20">
        <f>SUM(Q14:Q107)-Q52</f>
        <v>83</v>
      </c>
      <c r="R109" s="20">
        <f>SUM(R14:R107)-R55-R57-R59+S65</f>
        <v>72</v>
      </c>
      <c r="S109" s="20">
        <f>SUM(S14:S107)-S65+T71</f>
        <v>61</v>
      </c>
      <c r="T109" s="20">
        <f>SUM(T14:T107)-T71+U81</f>
        <v>44</v>
      </c>
      <c r="U109" s="20">
        <f>SUM(U14:U107)-U75-U77-U81</f>
        <v>34</v>
      </c>
      <c r="V109" s="20">
        <f>SUM(V14:V107)-V91-V94+W99</f>
        <v>22</v>
      </c>
      <c r="W109" s="20">
        <f>SUM(W14:W107)-W99-W104</f>
        <v>10</v>
      </c>
      <c r="X109" s="20">
        <f>SUM(X14:X107)</f>
        <v>0</v>
      </c>
    </row>
    <row r="116" spans="26:26" x14ac:dyDescent="0.3">
      <c r="Z116" t="s">
        <v>125</v>
      </c>
    </row>
    <row r="130" spans="3:4" x14ac:dyDescent="0.3">
      <c r="C130" s="51"/>
      <c r="D130" s="51"/>
    </row>
  </sheetData>
  <mergeCells count="209">
    <mergeCell ref="E106:F106"/>
    <mergeCell ref="C102:D102"/>
    <mergeCell ref="C103:D103"/>
    <mergeCell ref="E102:F102"/>
    <mergeCell ref="C65:D65"/>
    <mergeCell ref="E65:F65"/>
    <mergeCell ref="C71:D71"/>
    <mergeCell ref="E71:F71"/>
    <mergeCell ref="C75:D75"/>
    <mergeCell ref="E75:F75"/>
    <mergeCell ref="C77:D77"/>
    <mergeCell ref="E77:F77"/>
    <mergeCell ref="E64:F64"/>
    <mergeCell ref="C24:D24"/>
    <mergeCell ref="E67:F67"/>
    <mergeCell ref="E30:F30"/>
    <mergeCell ref="C48:D48"/>
    <mergeCell ref="E58:F58"/>
    <mergeCell ref="E60:F60"/>
    <mergeCell ref="E61:F61"/>
    <mergeCell ref="E107:F107"/>
    <mergeCell ref="E89:F89"/>
    <mergeCell ref="E95:F95"/>
    <mergeCell ref="E96:F96"/>
    <mergeCell ref="E97:F97"/>
    <mergeCell ref="E84:F84"/>
    <mergeCell ref="E85:F85"/>
    <mergeCell ref="E87:F87"/>
    <mergeCell ref="E88:F88"/>
    <mergeCell ref="E98:F98"/>
    <mergeCell ref="E100:F100"/>
    <mergeCell ref="E101:F101"/>
    <mergeCell ref="E105:F105"/>
    <mergeCell ref="E91:F91"/>
    <mergeCell ref="E94:F94"/>
    <mergeCell ref="E104:F104"/>
    <mergeCell ref="A1:B1"/>
    <mergeCell ref="A2:B2"/>
    <mergeCell ref="A3:B3"/>
    <mergeCell ref="B4:E4"/>
    <mergeCell ref="A14:A109"/>
    <mergeCell ref="E108:F108"/>
    <mergeCell ref="E109:F109"/>
    <mergeCell ref="C85:D85"/>
    <mergeCell ref="C87:D87"/>
    <mergeCell ref="E40:F40"/>
    <mergeCell ref="E45:F45"/>
    <mergeCell ref="E46:F46"/>
    <mergeCell ref="E48:F48"/>
    <mergeCell ref="E49:F49"/>
    <mergeCell ref="E34:F34"/>
    <mergeCell ref="E36:F36"/>
    <mergeCell ref="E79:F79"/>
    <mergeCell ref="E56:F56"/>
    <mergeCell ref="B108:D109"/>
    <mergeCell ref="B17:B33"/>
    <mergeCell ref="B72:B83"/>
    <mergeCell ref="C96:D96"/>
    <mergeCell ref="C91:D91"/>
    <mergeCell ref="B11:C11"/>
    <mergeCell ref="E14:F14"/>
    <mergeCell ref="E15:F15"/>
    <mergeCell ref="E16:F16"/>
    <mergeCell ref="E17:F17"/>
    <mergeCell ref="E72:F72"/>
    <mergeCell ref="E73:F73"/>
    <mergeCell ref="E76:F76"/>
    <mergeCell ref="C32:D32"/>
    <mergeCell ref="C13:D13"/>
    <mergeCell ref="E13:F13"/>
    <mergeCell ref="B14:D14"/>
    <mergeCell ref="B15:D15"/>
    <mergeCell ref="B16:D16"/>
    <mergeCell ref="C17:D17"/>
    <mergeCell ref="E18:F18"/>
    <mergeCell ref="E19:F19"/>
    <mergeCell ref="E74:F74"/>
    <mergeCell ref="B34:B46"/>
    <mergeCell ref="C46:D46"/>
    <mergeCell ref="E37:F37"/>
    <mergeCell ref="E47:F47"/>
    <mergeCell ref="E24:F24"/>
    <mergeCell ref="C26:D26"/>
    <mergeCell ref="C18:D18"/>
    <mergeCell ref="B106:B107"/>
    <mergeCell ref="C98:D98"/>
    <mergeCell ref="C100:D100"/>
    <mergeCell ref="C106:D106"/>
    <mergeCell ref="C107:D107"/>
    <mergeCell ref="C88:D88"/>
    <mergeCell ref="C89:D89"/>
    <mergeCell ref="C95:D95"/>
    <mergeCell ref="B95:B105"/>
    <mergeCell ref="B84:B94"/>
    <mergeCell ref="C90:D90"/>
    <mergeCell ref="C94:D94"/>
    <mergeCell ref="C104:D104"/>
    <mergeCell ref="C97:D97"/>
    <mergeCell ref="C130:D130"/>
    <mergeCell ref="C61:D61"/>
    <mergeCell ref="C62:D62"/>
    <mergeCell ref="C70:D70"/>
    <mergeCell ref="C72:D72"/>
    <mergeCell ref="C51:D51"/>
    <mergeCell ref="C49:D49"/>
    <mergeCell ref="C50:D50"/>
    <mergeCell ref="C105:D105"/>
    <mergeCell ref="C69:D69"/>
    <mergeCell ref="C53:D53"/>
    <mergeCell ref="C54:D54"/>
    <mergeCell ref="C56:D56"/>
    <mergeCell ref="C58:D58"/>
    <mergeCell ref="C60:D60"/>
    <mergeCell ref="C73:D73"/>
    <mergeCell ref="C76:D76"/>
    <mergeCell ref="C78:D78"/>
    <mergeCell ref="C74:D74"/>
    <mergeCell ref="C63:D63"/>
    <mergeCell ref="C59:D59"/>
    <mergeCell ref="C64:D64"/>
    <mergeCell ref="C66:D66"/>
    <mergeCell ref="C67:D67"/>
    <mergeCell ref="G108:H108"/>
    <mergeCell ref="G109:H109"/>
    <mergeCell ref="C80:D80"/>
    <mergeCell ref="E80:F80"/>
    <mergeCell ref="C83:D83"/>
    <mergeCell ref="E83:F83"/>
    <mergeCell ref="E78:F78"/>
    <mergeCell ref="C92:D92"/>
    <mergeCell ref="C93:D93"/>
    <mergeCell ref="E93:F93"/>
    <mergeCell ref="E92:F92"/>
    <mergeCell ref="C101:D101"/>
    <mergeCell ref="C81:D81"/>
    <mergeCell ref="E81:F81"/>
    <mergeCell ref="C82:D82"/>
    <mergeCell ref="E82:F82"/>
    <mergeCell ref="E103:F103"/>
    <mergeCell ref="C86:D86"/>
    <mergeCell ref="E86:F86"/>
    <mergeCell ref="C99:D99"/>
    <mergeCell ref="E99:F99"/>
    <mergeCell ref="C84:D84"/>
    <mergeCell ref="C79:D79"/>
    <mergeCell ref="E90:F90"/>
    <mergeCell ref="C19:D19"/>
    <mergeCell ref="E35:F35"/>
    <mergeCell ref="C27:D27"/>
    <mergeCell ref="E27:F27"/>
    <mergeCell ref="E26:F26"/>
    <mergeCell ref="C42:D42"/>
    <mergeCell ref="C31:D31"/>
    <mergeCell ref="E31:F31"/>
    <mergeCell ref="C21:D21"/>
    <mergeCell ref="E21:F21"/>
    <mergeCell ref="C23:D23"/>
    <mergeCell ref="E23:F23"/>
    <mergeCell ref="E42:F42"/>
    <mergeCell ref="C20:D20"/>
    <mergeCell ref="C34:D34"/>
    <mergeCell ref="C33:D33"/>
    <mergeCell ref="C35:D35"/>
    <mergeCell ref="C29:D29"/>
    <mergeCell ref="E29:F29"/>
    <mergeCell ref="E33:F33"/>
    <mergeCell ref="C30:D30"/>
    <mergeCell ref="C36:D36"/>
    <mergeCell ref="E62:F62"/>
    <mergeCell ref="C22:D22"/>
    <mergeCell ref="C28:D28"/>
    <mergeCell ref="B47:B70"/>
    <mergeCell ref="E20:F20"/>
    <mergeCell ref="E22:F22"/>
    <mergeCell ref="E28:F28"/>
    <mergeCell ref="E32:F32"/>
    <mergeCell ref="E66:F66"/>
    <mergeCell ref="C43:D43"/>
    <mergeCell ref="E59:F59"/>
    <mergeCell ref="C68:D68"/>
    <mergeCell ref="C45:D45"/>
    <mergeCell ref="E70:F70"/>
    <mergeCell ref="E50:F50"/>
    <mergeCell ref="E51:F51"/>
    <mergeCell ref="E53:F53"/>
    <mergeCell ref="E54:F54"/>
    <mergeCell ref="E68:F68"/>
    <mergeCell ref="E69:F69"/>
    <mergeCell ref="C47:D47"/>
    <mergeCell ref="E63:F63"/>
    <mergeCell ref="C25:D25"/>
    <mergeCell ref="E25:F25"/>
    <mergeCell ref="C44:D44"/>
    <mergeCell ref="E44:F44"/>
    <mergeCell ref="C37:D37"/>
    <mergeCell ref="C55:D55"/>
    <mergeCell ref="C57:D57"/>
    <mergeCell ref="E55:F55"/>
    <mergeCell ref="E57:F57"/>
    <mergeCell ref="C52:D52"/>
    <mergeCell ref="E52:F52"/>
    <mergeCell ref="E43:F43"/>
    <mergeCell ref="C41:D41"/>
    <mergeCell ref="E41:F41"/>
    <mergeCell ref="E38:F38"/>
    <mergeCell ref="C38:D38"/>
    <mergeCell ref="E39:F39"/>
    <mergeCell ref="C39:D39"/>
    <mergeCell ref="C40:D40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5"/>
  <sheetViews>
    <sheetView tabSelected="1" topLeftCell="A103" zoomScale="85" zoomScaleNormal="85" workbookViewId="0">
      <selection activeCell="B112" sqref="B112:B113"/>
    </sheetView>
  </sheetViews>
  <sheetFormatPr defaultColWidth="9.109375" defaultRowHeight="16.8" x14ac:dyDescent="0.3"/>
  <cols>
    <col min="1" max="1" width="19.5546875" style="1" customWidth="1"/>
    <col min="2" max="2" width="19" style="1" customWidth="1"/>
    <col min="3" max="3" width="125.44140625" style="1" customWidth="1"/>
    <col min="4" max="4" width="11.5546875" style="1" customWidth="1"/>
    <col min="5" max="5" width="9.5546875" style="1" customWidth="1"/>
    <col min="6" max="6" width="19.33203125" style="1" customWidth="1"/>
    <col min="7" max="7" width="6" style="1" customWidth="1"/>
    <col min="8" max="8" width="6.109375" style="1" customWidth="1"/>
    <col min="9" max="12" width="6" style="1" customWidth="1"/>
    <col min="13" max="13" width="6.109375" style="1" customWidth="1"/>
    <col min="14" max="17" width="6" style="1" customWidth="1"/>
    <col min="18" max="18" width="6.109375" style="1" customWidth="1"/>
    <col min="19" max="21" width="6" style="1" customWidth="1"/>
    <col min="22" max="24" width="6.109375" style="1" customWidth="1"/>
    <col min="25" max="26" width="6" style="1" customWidth="1"/>
    <col min="27" max="27" width="6.109375" style="1" customWidth="1"/>
    <col min="28" max="28" width="6" style="1" customWidth="1"/>
    <col min="29" max="16384" width="9.109375" style="1"/>
  </cols>
  <sheetData>
    <row r="1" spans="1:27" ht="17.399999999999999" thickBot="1" x14ac:dyDescent="0.35">
      <c r="A1" s="70" t="s">
        <v>3</v>
      </c>
      <c r="B1" s="71"/>
      <c r="C1" s="5" t="s">
        <v>121</v>
      </c>
      <c r="E1" s="11"/>
      <c r="F1" s="12" t="s">
        <v>54</v>
      </c>
    </row>
    <row r="2" spans="1:27" ht="17.399999999999999" thickBot="1" x14ac:dyDescent="0.35">
      <c r="A2" s="70" t="s">
        <v>1</v>
      </c>
      <c r="B2" s="71"/>
      <c r="C2" s="4">
        <v>45615</v>
      </c>
      <c r="E2" s="14"/>
      <c r="F2" s="13" t="s">
        <v>53</v>
      </c>
    </row>
    <row r="3" spans="1:27" ht="18" customHeight="1" thickBot="1" x14ac:dyDescent="0.35">
      <c r="E3" s="15"/>
      <c r="F3" s="16" t="s">
        <v>52</v>
      </c>
    </row>
    <row r="4" spans="1:27" ht="17.399999999999999" thickBot="1" x14ac:dyDescent="0.35">
      <c r="B4" s="59" t="s">
        <v>33</v>
      </c>
      <c r="C4" s="59"/>
      <c r="D4" s="59"/>
      <c r="E4" s="72"/>
    </row>
    <row r="5" spans="1:27" ht="17.399999999999999" thickBot="1" x14ac:dyDescent="0.35">
      <c r="B5" s="7" t="s">
        <v>6</v>
      </c>
      <c r="C5" s="7" t="s">
        <v>49</v>
      </c>
      <c r="D5" s="7" t="s">
        <v>11</v>
      </c>
      <c r="E5" s="7" t="s">
        <v>48</v>
      </c>
    </row>
    <row r="6" spans="1:27" ht="17.399999999999999" thickBot="1" x14ac:dyDescent="0.35">
      <c r="B6" s="9">
        <v>1</v>
      </c>
      <c r="C6" s="3" t="s">
        <v>116</v>
      </c>
      <c r="D6" s="3">
        <f ca="1">SUMIF($E$14:$F$113,"Trường",$G$14:$G$113)+SUMIF($E$14:$F$113,"All team",$G$14:$G$113)/5</f>
        <v>53.6</v>
      </c>
      <c r="E6" s="3">
        <f ca="1">SUMIF($E$14:$F$113,"Trường",$H$14:$H$113)+SUMIF($E$14:$F$113,"All team",$H$14:$H$113)/5</f>
        <v>57.2</v>
      </c>
    </row>
    <row r="7" spans="1:27" ht="17.399999999999999" thickBot="1" x14ac:dyDescent="0.35">
      <c r="B7" s="9">
        <v>2</v>
      </c>
      <c r="C7" s="3" t="s">
        <v>117</v>
      </c>
      <c r="D7" s="3">
        <f ca="1">SUMIF(E14:F113,"Ánh",G14:G113)+SUMIF(E14:F113,"All team",G14:G113)/5+SUMIF(E14:F113,"Ánh, Hà",G14:G113)/2</f>
        <v>32.1</v>
      </c>
      <c r="E7" s="3">
        <f ca="1">SUMIF(E14:F113,"Ánh",H14:H113)+SUMIF(E14:F113,"All team",H14:H113)/5+SUMIF(E14:F113,"Ánh, Hà",H14:H113)/2</f>
        <v>31.7</v>
      </c>
    </row>
    <row r="8" spans="1:27" ht="17.399999999999999" thickBot="1" x14ac:dyDescent="0.35">
      <c r="B8" s="9">
        <v>3</v>
      </c>
      <c r="C8" s="3" t="s">
        <v>118</v>
      </c>
      <c r="D8" s="3">
        <f ca="1">SUMIF(E14:F113,"Bình",G14:G113)+SUMIF(E14:F113,"All team",G14:G113)/5+SUMIF(E14:F113,"Bình, Quân",G14:G113)/2</f>
        <v>35.6</v>
      </c>
      <c r="E8" s="3">
        <f ca="1">SUMIF(E14:F113,"Bình",H14:H113)+SUMIF(E14:F113,"All team",H14:H113)/5+SUMIF(E14:F113,"Bình, Quân",H14:H113)/2</f>
        <v>33.200000000000003</v>
      </c>
    </row>
    <row r="9" spans="1:27" ht="17.399999999999999" thickBot="1" x14ac:dyDescent="0.35">
      <c r="B9" s="9">
        <v>4</v>
      </c>
      <c r="C9" s="3" t="s">
        <v>119</v>
      </c>
      <c r="D9" s="3">
        <f ca="1">SUMIF(E14:F113,"Hà",G14:G113)+SUMIF(E14:F113,"All team",G14:G113)/5+SUMIF(E14:F113,"Ánh, Hà",G14:G113)/2</f>
        <v>30.1</v>
      </c>
      <c r="E9" s="3">
        <f ca="1">SUMIF(E14:F113,"Hà",H14:H113)+SUMIF(E14:F113,"All team",H14:H113)/5+SUMIF(E14:F113,"Ánh, Hà",H14:H113)/2</f>
        <v>30.7</v>
      </c>
    </row>
    <row r="10" spans="1:27" ht="17.399999999999999" thickBot="1" x14ac:dyDescent="0.35">
      <c r="B10" s="9">
        <v>5</v>
      </c>
      <c r="C10" s="3" t="s">
        <v>120</v>
      </c>
      <c r="D10" s="3">
        <f ca="1">SUMIF(E14:F113,"Quân",G14:G113)+SUMIF(E14:F113,"All team",G14:G113)/5+SUMIF(E14:F113,"Bình, Quân",G14:G113)/2</f>
        <v>30.6</v>
      </c>
      <c r="E10" s="3">
        <f ca="1">SUMIF(E14:F113,"Quân",H14:H113)+SUMIF(E14:F113,"All team",H14:H113)/5+SUMIF(E14:F113,"Bình, Quân",H14:H113)/2</f>
        <v>30.2</v>
      </c>
    </row>
    <row r="11" spans="1:27" ht="17.399999999999999" thickBot="1" x14ac:dyDescent="0.35">
      <c r="B11" s="59" t="s">
        <v>12</v>
      </c>
      <c r="C11" s="59"/>
      <c r="D11" s="6">
        <f ca="1">SUM(D6:D10)</f>
        <v>182</v>
      </c>
      <c r="E11" s="6">
        <f ca="1">SUM(E6:E10)</f>
        <v>183</v>
      </c>
    </row>
    <row r="13" spans="1:27" ht="63.75" customHeight="1" x14ac:dyDescent="0.3">
      <c r="A13" s="17" t="s">
        <v>7</v>
      </c>
      <c r="B13" s="17" t="s">
        <v>8</v>
      </c>
      <c r="C13" s="73" t="s">
        <v>9</v>
      </c>
      <c r="D13" s="74"/>
      <c r="E13" s="73" t="s">
        <v>10</v>
      </c>
      <c r="F13" s="74"/>
      <c r="G13" s="18" t="s">
        <v>11</v>
      </c>
      <c r="H13" s="18" t="s">
        <v>48</v>
      </c>
      <c r="I13" s="19">
        <v>46135</v>
      </c>
      <c r="J13" s="19">
        <v>46136</v>
      </c>
      <c r="K13" s="19">
        <v>46137</v>
      </c>
      <c r="L13" s="19">
        <v>46138</v>
      </c>
      <c r="M13" s="19">
        <v>46139</v>
      </c>
      <c r="N13" s="19">
        <v>46140</v>
      </c>
      <c r="O13" s="19">
        <v>46141</v>
      </c>
      <c r="P13" s="19">
        <v>46142</v>
      </c>
      <c r="Q13" s="19">
        <v>46143</v>
      </c>
      <c r="R13" s="19">
        <v>46144</v>
      </c>
      <c r="S13" s="19">
        <v>46145</v>
      </c>
      <c r="T13" s="19">
        <v>46146</v>
      </c>
      <c r="U13" s="19">
        <v>46147</v>
      </c>
      <c r="V13" s="19">
        <v>46148</v>
      </c>
      <c r="W13" s="19">
        <v>46149</v>
      </c>
      <c r="X13" s="19">
        <v>46150</v>
      </c>
      <c r="Y13" s="19">
        <v>46151</v>
      </c>
      <c r="Z13" s="19">
        <v>46152</v>
      </c>
      <c r="AA13" s="19">
        <v>46153</v>
      </c>
    </row>
    <row r="14" spans="1:27" x14ac:dyDescent="0.3">
      <c r="A14" s="65" t="s">
        <v>32</v>
      </c>
      <c r="B14" s="47" t="s">
        <v>13</v>
      </c>
      <c r="C14" s="64"/>
      <c r="D14" s="48"/>
      <c r="E14" s="40" t="s">
        <v>47</v>
      </c>
      <c r="F14" s="41"/>
      <c r="G14" s="20">
        <v>10</v>
      </c>
      <c r="H14" s="20">
        <v>10</v>
      </c>
      <c r="I14" s="20">
        <v>10</v>
      </c>
      <c r="J14" s="21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</row>
    <row r="15" spans="1:27" x14ac:dyDescent="0.3">
      <c r="A15" s="66"/>
      <c r="B15" s="47" t="s">
        <v>41</v>
      </c>
      <c r="C15" s="64"/>
      <c r="D15" s="48"/>
      <c r="E15" s="40" t="s">
        <v>126</v>
      </c>
      <c r="F15" s="41"/>
      <c r="G15" s="20">
        <v>4</v>
      </c>
      <c r="H15" s="20">
        <v>5</v>
      </c>
      <c r="I15" s="20">
        <v>5</v>
      </c>
      <c r="J15" s="20">
        <v>4</v>
      </c>
      <c r="K15" s="21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</row>
    <row r="16" spans="1:27" x14ac:dyDescent="0.3">
      <c r="A16" s="66"/>
      <c r="B16" s="40"/>
      <c r="C16" s="61"/>
      <c r="D16" s="41"/>
      <c r="E16" s="40"/>
      <c r="F16" s="41"/>
      <c r="G16" s="20"/>
      <c r="H16" s="20"/>
      <c r="I16" s="20"/>
      <c r="J16" s="20"/>
      <c r="K16" s="22">
        <v>1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3">
      <c r="A17" s="66"/>
      <c r="B17" s="47" t="s">
        <v>15</v>
      </c>
      <c r="C17" s="64"/>
      <c r="D17" s="48"/>
      <c r="E17" s="40" t="s">
        <v>127</v>
      </c>
      <c r="F17" s="41"/>
      <c r="G17" s="20">
        <v>4</v>
      </c>
      <c r="H17" s="20">
        <v>5</v>
      </c>
      <c r="I17" s="20">
        <v>5</v>
      </c>
      <c r="J17" s="20">
        <v>4</v>
      </c>
      <c r="K17" s="21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</row>
    <row r="18" spans="1:27" x14ac:dyDescent="0.3">
      <c r="A18" s="66"/>
      <c r="B18" s="40"/>
      <c r="C18" s="61"/>
      <c r="D18" s="41"/>
      <c r="E18" s="40"/>
      <c r="F18" s="41"/>
      <c r="G18" s="20"/>
      <c r="H18" s="20"/>
      <c r="I18" s="20"/>
      <c r="J18" s="20"/>
      <c r="K18" s="22">
        <v>1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ht="17.25" customHeight="1" x14ac:dyDescent="0.3">
      <c r="A19" s="66"/>
      <c r="B19" s="65" t="s">
        <v>16</v>
      </c>
      <c r="C19" s="47" t="s">
        <v>154</v>
      </c>
      <c r="D19" s="48"/>
      <c r="E19" s="40" t="s">
        <v>122</v>
      </c>
      <c r="F19" s="41"/>
      <c r="G19" s="20">
        <v>4</v>
      </c>
      <c r="H19" s="20">
        <v>4</v>
      </c>
      <c r="I19" s="20">
        <v>4</v>
      </c>
      <c r="J19" s="20">
        <v>4</v>
      </c>
      <c r="K19" s="20">
        <v>4</v>
      </c>
      <c r="L19" s="21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</row>
    <row r="20" spans="1:27" x14ac:dyDescent="0.3">
      <c r="A20" s="66"/>
      <c r="B20" s="66"/>
      <c r="C20" s="47" t="s">
        <v>155</v>
      </c>
      <c r="D20" s="48"/>
      <c r="E20" s="40" t="s">
        <v>123</v>
      </c>
      <c r="F20" s="41"/>
      <c r="G20" s="20">
        <v>3</v>
      </c>
      <c r="H20" s="20">
        <v>3</v>
      </c>
      <c r="I20" s="20">
        <v>3</v>
      </c>
      <c r="J20" s="20">
        <v>3</v>
      </c>
      <c r="K20" s="20">
        <v>3</v>
      </c>
      <c r="L20" s="21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</row>
    <row r="21" spans="1:27" x14ac:dyDescent="0.3">
      <c r="A21" s="66"/>
      <c r="B21" s="66"/>
      <c r="C21" s="47" t="s">
        <v>156</v>
      </c>
      <c r="D21" s="48"/>
      <c r="E21" s="40" t="s">
        <v>128</v>
      </c>
      <c r="F21" s="41"/>
      <c r="G21" s="20">
        <v>3</v>
      </c>
      <c r="H21" s="20">
        <v>4</v>
      </c>
      <c r="I21" s="20">
        <v>4</v>
      </c>
      <c r="J21" s="20">
        <v>4</v>
      </c>
      <c r="K21" s="20">
        <v>3</v>
      </c>
      <c r="L21" s="21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</row>
    <row r="22" spans="1:27" x14ac:dyDescent="0.3">
      <c r="A22" s="66"/>
      <c r="B22" s="66"/>
      <c r="C22" s="40"/>
      <c r="D22" s="41"/>
      <c r="E22" s="40"/>
      <c r="F22" s="41"/>
      <c r="G22" s="20"/>
      <c r="H22" s="20"/>
      <c r="I22" s="20"/>
      <c r="J22" s="20"/>
      <c r="K22" s="20"/>
      <c r="L22" s="22">
        <v>1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x14ac:dyDescent="0.3">
      <c r="A23" s="66"/>
      <c r="B23" s="66"/>
      <c r="C23" s="47" t="s">
        <v>157</v>
      </c>
      <c r="D23" s="48"/>
      <c r="E23" s="40" t="s">
        <v>85</v>
      </c>
      <c r="F23" s="41"/>
      <c r="G23" s="20">
        <v>3</v>
      </c>
      <c r="H23" s="20">
        <v>3</v>
      </c>
      <c r="I23" s="20">
        <v>3</v>
      </c>
      <c r="J23" s="20">
        <v>3</v>
      </c>
      <c r="K23" s="20">
        <v>3</v>
      </c>
      <c r="L23" s="21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</row>
    <row r="24" spans="1:27" x14ac:dyDescent="0.3">
      <c r="A24" s="66"/>
      <c r="B24" s="66"/>
      <c r="C24" s="47" t="s">
        <v>158</v>
      </c>
      <c r="D24" s="48"/>
      <c r="E24" s="40" t="s">
        <v>124</v>
      </c>
      <c r="F24" s="41"/>
      <c r="G24" s="20">
        <v>2</v>
      </c>
      <c r="H24" s="20">
        <v>2</v>
      </c>
      <c r="I24" s="20">
        <v>2</v>
      </c>
      <c r="J24" s="20">
        <v>2</v>
      </c>
      <c r="K24" s="20">
        <v>2</v>
      </c>
      <c r="L24" s="20">
        <v>2</v>
      </c>
      <c r="M24" s="21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</row>
    <row r="25" spans="1:27" x14ac:dyDescent="0.3">
      <c r="A25" s="66"/>
      <c r="B25" s="66"/>
      <c r="C25" s="47" t="s">
        <v>159</v>
      </c>
      <c r="D25" s="48"/>
      <c r="E25" s="40" t="s">
        <v>122</v>
      </c>
      <c r="F25" s="41"/>
      <c r="G25" s="20">
        <v>3</v>
      </c>
      <c r="H25" s="20">
        <v>2</v>
      </c>
      <c r="I25" s="20">
        <v>2</v>
      </c>
      <c r="J25" s="20">
        <v>2</v>
      </c>
      <c r="K25" s="20">
        <v>2</v>
      </c>
      <c r="L25" s="20">
        <v>2</v>
      </c>
      <c r="M25" s="21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</row>
    <row r="26" spans="1:27" x14ac:dyDescent="0.3">
      <c r="A26" s="66"/>
      <c r="B26" s="66"/>
      <c r="C26" s="40"/>
      <c r="D26" s="41"/>
      <c r="E26" s="40"/>
      <c r="F26" s="41"/>
      <c r="G26" s="20"/>
      <c r="H26" s="20"/>
      <c r="I26" s="20"/>
      <c r="J26" s="20"/>
      <c r="K26" s="20"/>
      <c r="L26" s="20"/>
      <c r="M26" s="23">
        <v>1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x14ac:dyDescent="0.3">
      <c r="A27" s="66"/>
      <c r="B27" s="66"/>
      <c r="C27" s="47" t="s">
        <v>160</v>
      </c>
      <c r="D27" s="48"/>
      <c r="E27" s="40" t="s">
        <v>123</v>
      </c>
      <c r="F27" s="41"/>
      <c r="G27" s="20">
        <v>2</v>
      </c>
      <c r="H27" s="20">
        <v>2</v>
      </c>
      <c r="I27" s="20">
        <v>2</v>
      </c>
      <c r="J27" s="20">
        <v>2</v>
      </c>
      <c r="K27" s="20">
        <v>2</v>
      </c>
      <c r="L27" s="20">
        <v>2</v>
      </c>
      <c r="M27" s="21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</row>
    <row r="28" spans="1:27" x14ac:dyDescent="0.3">
      <c r="A28" s="66"/>
      <c r="B28" s="66"/>
      <c r="C28" s="47" t="s">
        <v>161</v>
      </c>
      <c r="D28" s="48"/>
      <c r="E28" s="40" t="s">
        <v>128</v>
      </c>
      <c r="F28" s="41"/>
      <c r="G28" s="20">
        <v>2</v>
      </c>
      <c r="H28" s="20">
        <v>2</v>
      </c>
      <c r="I28" s="20">
        <v>2</v>
      </c>
      <c r="J28" s="20">
        <v>2</v>
      </c>
      <c r="K28" s="20">
        <v>2</v>
      </c>
      <c r="L28" s="20">
        <v>2</v>
      </c>
      <c r="M28" s="21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</row>
    <row r="29" spans="1:27" x14ac:dyDescent="0.3">
      <c r="A29" s="66"/>
      <c r="B29" s="66"/>
      <c r="C29" s="47" t="s">
        <v>162</v>
      </c>
      <c r="D29" s="48"/>
      <c r="E29" s="40" t="s">
        <v>124</v>
      </c>
      <c r="F29" s="41"/>
      <c r="G29" s="20">
        <v>2</v>
      </c>
      <c r="H29" s="20">
        <v>3</v>
      </c>
      <c r="I29" s="20">
        <v>3</v>
      </c>
      <c r="J29" s="20">
        <v>3</v>
      </c>
      <c r="K29" s="20">
        <v>3</v>
      </c>
      <c r="L29" s="20">
        <v>3</v>
      </c>
      <c r="M29" s="20">
        <v>2</v>
      </c>
      <c r="N29" s="21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</row>
    <row r="30" spans="1:27" x14ac:dyDescent="0.3">
      <c r="A30" s="66"/>
      <c r="B30" s="66"/>
      <c r="C30" s="40"/>
      <c r="D30" s="41"/>
      <c r="E30" s="40"/>
      <c r="F30" s="41"/>
      <c r="G30" s="20"/>
      <c r="H30" s="20"/>
      <c r="I30" s="20"/>
      <c r="J30" s="20"/>
      <c r="K30" s="20"/>
      <c r="L30" s="20"/>
      <c r="M30" s="20"/>
      <c r="N30" s="22">
        <v>1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x14ac:dyDescent="0.3">
      <c r="A31" s="66"/>
      <c r="B31" s="66"/>
      <c r="C31" s="47" t="s">
        <v>42</v>
      </c>
      <c r="D31" s="48"/>
      <c r="E31" s="40" t="s">
        <v>47</v>
      </c>
      <c r="F31" s="41"/>
      <c r="G31" s="20">
        <v>6</v>
      </c>
      <c r="H31" s="20">
        <v>5</v>
      </c>
      <c r="I31" s="20">
        <v>5</v>
      </c>
      <c r="J31" s="20">
        <v>5</v>
      </c>
      <c r="K31" s="20">
        <v>5</v>
      </c>
      <c r="L31" s="20">
        <v>5</v>
      </c>
      <c r="M31" s="20">
        <v>5</v>
      </c>
      <c r="N31" s="21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</row>
    <row r="32" spans="1:27" x14ac:dyDescent="0.3">
      <c r="A32" s="66"/>
      <c r="B32" s="67"/>
      <c r="C32" s="40"/>
      <c r="D32" s="41"/>
      <c r="E32" s="40"/>
      <c r="F32" s="41"/>
      <c r="G32" s="20"/>
      <c r="H32" s="20"/>
      <c r="I32" s="20"/>
      <c r="J32" s="20"/>
      <c r="K32" s="20"/>
      <c r="L32" s="20"/>
      <c r="M32" s="20"/>
      <c r="N32" s="23">
        <v>1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x14ac:dyDescent="0.3">
      <c r="A33" s="66"/>
      <c r="B33" s="65" t="s">
        <v>20</v>
      </c>
      <c r="C33" s="47" t="s">
        <v>163</v>
      </c>
      <c r="D33" s="48"/>
      <c r="E33" s="40" t="s">
        <v>126</v>
      </c>
      <c r="F33" s="41"/>
      <c r="G33" s="20">
        <v>5</v>
      </c>
      <c r="H33" s="20">
        <v>4</v>
      </c>
      <c r="I33" s="20">
        <v>4</v>
      </c>
      <c r="J33" s="20">
        <v>4</v>
      </c>
      <c r="K33" s="20">
        <v>4</v>
      </c>
      <c r="L33" s="20">
        <v>4</v>
      </c>
      <c r="M33" s="20">
        <v>4</v>
      </c>
      <c r="N33" s="20">
        <v>4</v>
      </c>
      <c r="O33" s="21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</row>
    <row r="34" spans="1:27" x14ac:dyDescent="0.3">
      <c r="A34" s="66"/>
      <c r="B34" s="66"/>
      <c r="C34" s="40"/>
      <c r="D34" s="41"/>
      <c r="E34" s="40"/>
      <c r="F34" s="41"/>
      <c r="G34" s="20"/>
      <c r="H34" s="20"/>
      <c r="I34" s="20"/>
      <c r="J34" s="20"/>
      <c r="K34" s="20"/>
      <c r="L34" s="20"/>
      <c r="M34" s="20"/>
      <c r="N34" s="20"/>
      <c r="O34" s="23">
        <v>1</v>
      </c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x14ac:dyDescent="0.3">
      <c r="A35" s="66"/>
      <c r="B35" s="66"/>
      <c r="C35" s="47" t="s">
        <v>165</v>
      </c>
      <c r="D35" s="48"/>
      <c r="E35" s="40" t="s">
        <v>128</v>
      </c>
      <c r="F35" s="41"/>
      <c r="G35" s="20">
        <v>3</v>
      </c>
      <c r="H35" s="20">
        <v>2</v>
      </c>
      <c r="I35" s="20">
        <v>2</v>
      </c>
      <c r="J35" s="20">
        <v>2</v>
      </c>
      <c r="K35" s="20">
        <v>2</v>
      </c>
      <c r="L35" s="20">
        <v>2</v>
      </c>
      <c r="M35" s="20">
        <v>2</v>
      </c>
      <c r="N35" s="20">
        <v>2</v>
      </c>
      <c r="O35" s="21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</row>
    <row r="36" spans="1:27" x14ac:dyDescent="0.3">
      <c r="A36" s="66"/>
      <c r="B36" s="66"/>
      <c r="C36" s="40"/>
      <c r="D36" s="41"/>
      <c r="E36" s="40"/>
      <c r="F36" s="41"/>
      <c r="G36" s="20"/>
      <c r="H36" s="20"/>
      <c r="I36" s="20"/>
      <c r="J36" s="20"/>
      <c r="K36" s="20"/>
      <c r="L36" s="20"/>
      <c r="M36" s="20"/>
      <c r="N36" s="20"/>
      <c r="O36" s="23">
        <v>1</v>
      </c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x14ac:dyDescent="0.3">
      <c r="A37" s="66"/>
      <c r="B37" s="66"/>
      <c r="C37" s="47" t="s">
        <v>164</v>
      </c>
      <c r="D37" s="48"/>
      <c r="E37" s="40" t="s">
        <v>85</v>
      </c>
      <c r="F37" s="41"/>
      <c r="G37" s="20">
        <v>3</v>
      </c>
      <c r="H37" s="20">
        <v>3</v>
      </c>
      <c r="I37" s="20">
        <v>3</v>
      </c>
      <c r="J37" s="20">
        <v>3</v>
      </c>
      <c r="K37" s="20">
        <v>3</v>
      </c>
      <c r="L37" s="20">
        <v>3</v>
      </c>
      <c r="M37" s="20">
        <v>3</v>
      </c>
      <c r="N37" s="20">
        <v>3</v>
      </c>
      <c r="O37" s="21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</row>
    <row r="38" spans="1:27" x14ac:dyDescent="0.3">
      <c r="A38" s="66"/>
      <c r="B38" s="66"/>
      <c r="C38" s="47" t="s">
        <v>166</v>
      </c>
      <c r="D38" s="48"/>
      <c r="E38" s="40" t="s">
        <v>124</v>
      </c>
      <c r="F38" s="41"/>
      <c r="G38" s="20">
        <v>2</v>
      </c>
      <c r="H38" s="20">
        <v>2</v>
      </c>
      <c r="I38" s="20">
        <v>2</v>
      </c>
      <c r="J38" s="20">
        <v>2</v>
      </c>
      <c r="K38" s="20">
        <v>2</v>
      </c>
      <c r="L38" s="20">
        <v>2</v>
      </c>
      <c r="M38" s="20">
        <v>2</v>
      </c>
      <c r="N38" s="20">
        <v>2</v>
      </c>
      <c r="O38" s="20">
        <v>2</v>
      </c>
      <c r="P38" s="21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</row>
    <row r="39" spans="1:27" x14ac:dyDescent="0.3">
      <c r="A39" s="66"/>
      <c r="B39" s="66"/>
      <c r="C39" s="47" t="s">
        <v>167</v>
      </c>
      <c r="D39" s="48"/>
      <c r="E39" s="40" t="s">
        <v>122</v>
      </c>
      <c r="F39" s="41"/>
      <c r="G39" s="20">
        <v>2</v>
      </c>
      <c r="H39" s="20">
        <v>2</v>
      </c>
      <c r="I39" s="20">
        <v>2</v>
      </c>
      <c r="J39" s="20">
        <v>2</v>
      </c>
      <c r="K39" s="20">
        <v>2</v>
      </c>
      <c r="L39" s="20">
        <v>2</v>
      </c>
      <c r="M39" s="20">
        <v>2</v>
      </c>
      <c r="N39" s="20">
        <v>2</v>
      </c>
      <c r="O39" s="20">
        <v>2</v>
      </c>
      <c r="P39" s="21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</row>
    <row r="40" spans="1:27" x14ac:dyDescent="0.3">
      <c r="A40" s="66"/>
      <c r="B40" s="66"/>
      <c r="C40" s="47" t="s">
        <v>168</v>
      </c>
      <c r="D40" s="48"/>
      <c r="E40" s="40" t="s">
        <v>128</v>
      </c>
      <c r="F40" s="41"/>
      <c r="G40" s="20">
        <v>3</v>
      </c>
      <c r="H40" s="20">
        <v>2</v>
      </c>
      <c r="I40" s="20">
        <v>2</v>
      </c>
      <c r="J40" s="20">
        <v>2</v>
      </c>
      <c r="K40" s="20">
        <v>2</v>
      </c>
      <c r="L40" s="20">
        <v>2</v>
      </c>
      <c r="M40" s="20">
        <v>2</v>
      </c>
      <c r="N40" s="20">
        <v>2</v>
      </c>
      <c r="O40" s="20">
        <v>2</v>
      </c>
      <c r="P40" s="21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</row>
    <row r="41" spans="1:27" x14ac:dyDescent="0.3">
      <c r="A41" s="66"/>
      <c r="B41" s="66"/>
      <c r="C41" s="40"/>
      <c r="D41" s="41"/>
      <c r="E41" s="40"/>
      <c r="F41" s="41"/>
      <c r="G41" s="20"/>
      <c r="H41" s="20"/>
      <c r="I41" s="20"/>
      <c r="J41" s="20"/>
      <c r="K41" s="20"/>
      <c r="L41" s="20"/>
      <c r="M41" s="20"/>
      <c r="N41" s="20"/>
      <c r="O41" s="20"/>
      <c r="P41" s="23">
        <v>1</v>
      </c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x14ac:dyDescent="0.3">
      <c r="A42" s="66"/>
      <c r="B42" s="66"/>
      <c r="C42" s="47" t="s">
        <v>169</v>
      </c>
      <c r="D42" s="48"/>
      <c r="E42" s="40" t="s">
        <v>123</v>
      </c>
      <c r="F42" s="41"/>
      <c r="G42" s="20">
        <v>1</v>
      </c>
      <c r="H42" s="20">
        <v>2</v>
      </c>
      <c r="I42" s="20">
        <v>2</v>
      </c>
      <c r="J42" s="20">
        <v>2</v>
      </c>
      <c r="K42" s="20">
        <v>2</v>
      </c>
      <c r="L42" s="20">
        <v>2</v>
      </c>
      <c r="M42" s="20">
        <v>2</v>
      </c>
      <c r="N42" s="20">
        <v>2</v>
      </c>
      <c r="O42" s="20">
        <v>1</v>
      </c>
      <c r="P42" s="21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</row>
    <row r="43" spans="1:27" x14ac:dyDescent="0.3">
      <c r="A43" s="66"/>
      <c r="B43" s="66"/>
      <c r="C43" s="40"/>
      <c r="D43" s="41"/>
      <c r="E43" s="40"/>
      <c r="F43" s="41"/>
      <c r="G43" s="20"/>
      <c r="H43" s="20"/>
      <c r="I43" s="20"/>
      <c r="J43" s="20"/>
      <c r="K43" s="20"/>
      <c r="L43" s="20"/>
      <c r="M43" s="20"/>
      <c r="N43" s="20"/>
      <c r="O43" s="20"/>
      <c r="P43" s="22">
        <v>1</v>
      </c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x14ac:dyDescent="0.3">
      <c r="A44" s="66"/>
      <c r="B44" s="66"/>
      <c r="C44" s="47" t="s">
        <v>170</v>
      </c>
      <c r="D44" s="48"/>
      <c r="E44" s="40" t="s">
        <v>85</v>
      </c>
      <c r="F44" s="41"/>
      <c r="G44" s="20">
        <v>2</v>
      </c>
      <c r="H44" s="20">
        <v>2</v>
      </c>
      <c r="I44" s="20">
        <v>2</v>
      </c>
      <c r="J44" s="20">
        <v>2</v>
      </c>
      <c r="K44" s="20">
        <v>2</v>
      </c>
      <c r="L44" s="20">
        <v>2</v>
      </c>
      <c r="M44" s="20">
        <v>2</v>
      </c>
      <c r="N44" s="20">
        <v>2</v>
      </c>
      <c r="O44" s="20">
        <v>2</v>
      </c>
      <c r="P44" s="21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</row>
    <row r="45" spans="1:27" x14ac:dyDescent="0.3">
      <c r="A45" s="66"/>
      <c r="B45" s="66"/>
      <c r="C45" s="47" t="s">
        <v>171</v>
      </c>
      <c r="D45" s="48"/>
      <c r="E45" s="40" t="s">
        <v>47</v>
      </c>
      <c r="F45" s="41"/>
      <c r="G45" s="20">
        <v>3</v>
      </c>
      <c r="H45" s="20">
        <v>3</v>
      </c>
      <c r="I45" s="20">
        <v>3</v>
      </c>
      <c r="J45" s="20">
        <v>3</v>
      </c>
      <c r="K45" s="20">
        <v>3</v>
      </c>
      <c r="L45" s="20">
        <v>3</v>
      </c>
      <c r="M45" s="20">
        <v>3</v>
      </c>
      <c r="N45" s="20">
        <v>3</v>
      </c>
      <c r="O45" s="20">
        <v>3</v>
      </c>
      <c r="P45" s="20">
        <v>3</v>
      </c>
      <c r="Q45" s="21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</row>
    <row r="46" spans="1:27" x14ac:dyDescent="0.3">
      <c r="A46" s="66"/>
      <c r="B46" s="66"/>
      <c r="C46" s="47" t="s">
        <v>228</v>
      </c>
      <c r="D46" s="48"/>
      <c r="E46" s="40" t="s">
        <v>47</v>
      </c>
      <c r="F46" s="41"/>
      <c r="G46" s="20">
        <v>5</v>
      </c>
      <c r="H46" s="20">
        <v>6</v>
      </c>
      <c r="I46" s="20">
        <v>6</v>
      </c>
      <c r="J46" s="20">
        <v>6</v>
      </c>
      <c r="K46" s="20">
        <v>6</v>
      </c>
      <c r="L46" s="20">
        <v>6</v>
      </c>
      <c r="M46" s="20">
        <v>6</v>
      </c>
      <c r="N46" s="20">
        <v>6</v>
      </c>
      <c r="O46" s="20">
        <v>6</v>
      </c>
      <c r="P46" s="20">
        <v>5</v>
      </c>
      <c r="Q46" s="21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</row>
    <row r="47" spans="1:27" x14ac:dyDescent="0.3">
      <c r="A47" s="66"/>
      <c r="B47" s="67"/>
      <c r="C47" s="40"/>
      <c r="D47" s="41"/>
      <c r="E47" s="40"/>
      <c r="F47" s="41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2">
        <v>1</v>
      </c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x14ac:dyDescent="0.3">
      <c r="A48" s="66"/>
      <c r="B48" s="65" t="s">
        <v>23</v>
      </c>
      <c r="C48" s="47" t="s">
        <v>172</v>
      </c>
      <c r="D48" s="48"/>
      <c r="E48" s="40" t="s">
        <v>126</v>
      </c>
      <c r="F48" s="41"/>
      <c r="G48" s="20">
        <v>5</v>
      </c>
      <c r="H48" s="20">
        <v>4</v>
      </c>
      <c r="I48" s="20">
        <v>4</v>
      </c>
      <c r="J48" s="20">
        <v>4</v>
      </c>
      <c r="K48" s="20">
        <v>4</v>
      </c>
      <c r="L48" s="20">
        <v>4</v>
      </c>
      <c r="M48" s="20">
        <v>4</v>
      </c>
      <c r="N48" s="20">
        <v>4</v>
      </c>
      <c r="O48" s="20">
        <v>4</v>
      </c>
      <c r="P48" s="20">
        <v>4</v>
      </c>
      <c r="Q48" s="20">
        <v>4</v>
      </c>
      <c r="R48" s="21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</row>
    <row r="49" spans="1:27" x14ac:dyDescent="0.3">
      <c r="A49" s="66"/>
      <c r="B49" s="66"/>
      <c r="C49" s="40"/>
      <c r="D49" s="41"/>
      <c r="E49" s="40"/>
      <c r="F49" s="41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3">
        <v>1</v>
      </c>
      <c r="S49" s="20"/>
      <c r="T49" s="20"/>
      <c r="U49" s="20"/>
      <c r="V49" s="20"/>
      <c r="W49" s="20"/>
      <c r="X49" s="20"/>
      <c r="Y49" s="20"/>
      <c r="Z49" s="20"/>
      <c r="AA49" s="20"/>
    </row>
    <row r="50" spans="1:27" x14ac:dyDescent="0.3">
      <c r="A50" s="66"/>
      <c r="B50" s="66"/>
      <c r="C50" s="47" t="s">
        <v>173</v>
      </c>
      <c r="D50" s="48"/>
      <c r="E50" s="40" t="s">
        <v>124</v>
      </c>
      <c r="F50" s="41"/>
      <c r="G50" s="20">
        <v>3</v>
      </c>
      <c r="H50" s="20">
        <v>4</v>
      </c>
      <c r="I50" s="20">
        <v>4</v>
      </c>
      <c r="J50" s="20">
        <v>4</v>
      </c>
      <c r="K50" s="20">
        <v>4</v>
      </c>
      <c r="L50" s="20">
        <v>4</v>
      </c>
      <c r="M50" s="20">
        <v>4</v>
      </c>
      <c r="N50" s="20">
        <v>4</v>
      </c>
      <c r="O50" s="20">
        <v>4</v>
      </c>
      <c r="P50" s="20">
        <v>4</v>
      </c>
      <c r="Q50" s="20">
        <v>3</v>
      </c>
      <c r="R50" s="21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</row>
    <row r="51" spans="1:27" x14ac:dyDescent="0.3">
      <c r="A51" s="66"/>
      <c r="B51" s="66"/>
      <c r="C51" s="40"/>
      <c r="D51" s="41"/>
      <c r="E51" s="40"/>
      <c r="F51" s="41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2">
        <v>1</v>
      </c>
      <c r="S51" s="20"/>
      <c r="T51" s="20"/>
      <c r="U51" s="20"/>
      <c r="V51" s="20"/>
      <c r="W51" s="20"/>
      <c r="X51" s="20"/>
      <c r="Y51" s="20"/>
      <c r="Z51" s="20"/>
      <c r="AA51" s="20"/>
    </row>
    <row r="52" spans="1:27" x14ac:dyDescent="0.3">
      <c r="A52" s="66"/>
      <c r="B52" s="66"/>
      <c r="C52" s="47" t="s">
        <v>174</v>
      </c>
      <c r="D52" s="48"/>
      <c r="E52" s="40" t="s">
        <v>127</v>
      </c>
      <c r="F52" s="41"/>
      <c r="G52" s="20">
        <v>2</v>
      </c>
      <c r="H52" s="20">
        <v>3</v>
      </c>
      <c r="I52" s="20">
        <v>3</v>
      </c>
      <c r="J52" s="20">
        <v>3</v>
      </c>
      <c r="K52" s="20">
        <v>3</v>
      </c>
      <c r="L52" s="20">
        <v>3</v>
      </c>
      <c r="M52" s="20">
        <v>3</v>
      </c>
      <c r="N52" s="20">
        <v>3</v>
      </c>
      <c r="O52" s="20">
        <v>3</v>
      </c>
      <c r="P52" s="20">
        <v>3</v>
      </c>
      <c r="Q52" s="20">
        <v>2</v>
      </c>
      <c r="R52" s="21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</row>
    <row r="53" spans="1:27" x14ac:dyDescent="0.3">
      <c r="A53" s="66"/>
      <c r="B53" s="66"/>
      <c r="C53" s="40"/>
      <c r="D53" s="41"/>
      <c r="E53" s="40"/>
      <c r="F53" s="41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2">
        <v>1</v>
      </c>
      <c r="S53" s="20"/>
      <c r="T53" s="20"/>
      <c r="U53" s="20"/>
      <c r="V53" s="20"/>
      <c r="W53" s="20"/>
      <c r="X53" s="20"/>
      <c r="Y53" s="20"/>
      <c r="Z53" s="20"/>
      <c r="AA53" s="20"/>
    </row>
    <row r="54" spans="1:27" x14ac:dyDescent="0.3">
      <c r="A54" s="66"/>
      <c r="B54" s="66"/>
      <c r="C54" s="47" t="s">
        <v>175</v>
      </c>
      <c r="D54" s="48"/>
      <c r="E54" s="40" t="s">
        <v>124</v>
      </c>
      <c r="F54" s="41"/>
      <c r="G54" s="20">
        <v>3</v>
      </c>
      <c r="H54" s="20">
        <v>3</v>
      </c>
      <c r="I54" s="20">
        <v>3</v>
      </c>
      <c r="J54" s="20">
        <v>3</v>
      </c>
      <c r="K54" s="20">
        <v>3</v>
      </c>
      <c r="L54" s="20">
        <v>3</v>
      </c>
      <c r="M54" s="20">
        <v>3</v>
      </c>
      <c r="N54" s="20">
        <v>3</v>
      </c>
      <c r="O54" s="20">
        <v>3</v>
      </c>
      <c r="P54" s="20">
        <v>3</v>
      </c>
      <c r="Q54" s="20">
        <v>3</v>
      </c>
      <c r="R54" s="21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</row>
    <row r="55" spans="1:27" x14ac:dyDescent="0.3">
      <c r="A55" s="66"/>
      <c r="B55" s="66"/>
      <c r="C55" s="47" t="s">
        <v>176</v>
      </c>
      <c r="D55" s="48"/>
      <c r="E55" s="40" t="s">
        <v>126</v>
      </c>
      <c r="F55" s="41"/>
      <c r="G55" s="20">
        <v>4</v>
      </c>
      <c r="H55" s="20">
        <v>4</v>
      </c>
      <c r="I55" s="20">
        <v>4</v>
      </c>
      <c r="J55" s="20">
        <v>4</v>
      </c>
      <c r="K55" s="20">
        <v>4</v>
      </c>
      <c r="L55" s="20">
        <v>4</v>
      </c>
      <c r="M55" s="20">
        <v>4</v>
      </c>
      <c r="N55" s="20">
        <v>4</v>
      </c>
      <c r="O55" s="20">
        <v>4</v>
      </c>
      <c r="P55" s="20">
        <v>4</v>
      </c>
      <c r="Q55" s="20">
        <v>4</v>
      </c>
      <c r="R55" s="20">
        <v>4</v>
      </c>
      <c r="S55" s="21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</row>
    <row r="56" spans="1:27" x14ac:dyDescent="0.3">
      <c r="A56" s="66"/>
      <c r="B56" s="66"/>
      <c r="C56" s="47" t="s">
        <v>177</v>
      </c>
      <c r="D56" s="48"/>
      <c r="E56" s="40" t="s">
        <v>124</v>
      </c>
      <c r="F56" s="41"/>
      <c r="G56" s="20">
        <v>3</v>
      </c>
      <c r="H56" s="20">
        <v>3</v>
      </c>
      <c r="I56" s="20">
        <v>3</v>
      </c>
      <c r="J56" s="20">
        <v>3</v>
      </c>
      <c r="K56" s="20">
        <v>3</v>
      </c>
      <c r="L56" s="20">
        <v>3</v>
      </c>
      <c r="M56" s="20">
        <v>3</v>
      </c>
      <c r="N56" s="20">
        <v>3</v>
      </c>
      <c r="O56" s="20">
        <v>3</v>
      </c>
      <c r="P56" s="20">
        <v>3</v>
      </c>
      <c r="Q56" s="20">
        <v>3</v>
      </c>
      <c r="R56" s="20">
        <v>3</v>
      </c>
      <c r="S56" s="21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</row>
    <row r="57" spans="1:27" x14ac:dyDescent="0.3">
      <c r="A57" s="66"/>
      <c r="B57" s="66"/>
      <c r="C57" s="47" t="s">
        <v>178</v>
      </c>
      <c r="D57" s="48"/>
      <c r="E57" s="40" t="s">
        <v>127</v>
      </c>
      <c r="F57" s="41"/>
      <c r="G57" s="20">
        <v>4</v>
      </c>
      <c r="H57" s="20">
        <v>3</v>
      </c>
      <c r="I57" s="20">
        <v>3</v>
      </c>
      <c r="J57" s="20">
        <v>3</v>
      </c>
      <c r="K57" s="20">
        <v>3</v>
      </c>
      <c r="L57" s="20">
        <v>3</v>
      </c>
      <c r="M57" s="20">
        <v>3</v>
      </c>
      <c r="N57" s="20">
        <v>3</v>
      </c>
      <c r="O57" s="20">
        <v>3</v>
      </c>
      <c r="P57" s="20">
        <v>3</v>
      </c>
      <c r="Q57" s="20">
        <v>3</v>
      </c>
      <c r="R57" s="20">
        <v>3</v>
      </c>
      <c r="S57" s="21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</row>
    <row r="58" spans="1:27" x14ac:dyDescent="0.3">
      <c r="A58" s="66"/>
      <c r="B58" s="66"/>
      <c r="C58" s="40"/>
      <c r="D58" s="41"/>
      <c r="E58" s="40"/>
      <c r="F58" s="41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3">
        <v>1</v>
      </c>
      <c r="T58" s="20"/>
      <c r="U58" s="20"/>
      <c r="V58" s="20"/>
      <c r="W58" s="20"/>
      <c r="X58" s="20"/>
      <c r="Y58" s="20"/>
      <c r="Z58" s="20"/>
      <c r="AA58" s="20"/>
    </row>
    <row r="59" spans="1:27" x14ac:dyDescent="0.3">
      <c r="A59" s="66"/>
      <c r="B59" s="66"/>
      <c r="C59" s="47" t="s">
        <v>179</v>
      </c>
      <c r="D59" s="48"/>
      <c r="E59" s="40" t="s">
        <v>124</v>
      </c>
      <c r="F59" s="41"/>
      <c r="G59" s="20">
        <v>2</v>
      </c>
      <c r="H59" s="20">
        <v>2</v>
      </c>
      <c r="I59" s="20">
        <v>2</v>
      </c>
      <c r="J59" s="20">
        <v>2</v>
      </c>
      <c r="K59" s="20">
        <v>2</v>
      </c>
      <c r="L59" s="20">
        <v>2</v>
      </c>
      <c r="M59" s="20">
        <v>2</v>
      </c>
      <c r="N59" s="20">
        <v>2</v>
      </c>
      <c r="O59" s="20">
        <v>2</v>
      </c>
      <c r="P59" s="20">
        <v>2</v>
      </c>
      <c r="Q59" s="20">
        <v>2</v>
      </c>
      <c r="R59" s="20">
        <v>2</v>
      </c>
      <c r="S59" s="21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</row>
    <row r="60" spans="1:27" x14ac:dyDescent="0.3">
      <c r="A60" s="66"/>
      <c r="B60" s="66"/>
      <c r="C60" s="47" t="s">
        <v>180</v>
      </c>
      <c r="D60" s="48"/>
      <c r="E60" s="40" t="s">
        <v>127</v>
      </c>
      <c r="F60" s="41"/>
      <c r="G60" s="20">
        <v>4</v>
      </c>
      <c r="H60" s="20">
        <v>3</v>
      </c>
      <c r="I60" s="20">
        <v>3</v>
      </c>
      <c r="J60" s="20">
        <v>3</v>
      </c>
      <c r="K60" s="20">
        <v>3</v>
      </c>
      <c r="L60" s="20">
        <v>3</v>
      </c>
      <c r="M60" s="20">
        <v>3</v>
      </c>
      <c r="N60" s="20">
        <v>3</v>
      </c>
      <c r="O60" s="20">
        <v>3</v>
      </c>
      <c r="P60" s="20">
        <v>3</v>
      </c>
      <c r="Q60" s="20">
        <v>3</v>
      </c>
      <c r="R60" s="20">
        <v>3</v>
      </c>
      <c r="S60" s="20">
        <v>3</v>
      </c>
      <c r="T60" s="21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</row>
    <row r="61" spans="1:27" x14ac:dyDescent="0.3">
      <c r="A61" s="66"/>
      <c r="B61" s="66"/>
      <c r="C61" s="40"/>
      <c r="D61" s="41"/>
      <c r="E61" s="40"/>
      <c r="F61" s="41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3">
        <v>1</v>
      </c>
      <c r="U61" s="20"/>
      <c r="V61" s="20"/>
      <c r="W61" s="20"/>
      <c r="X61" s="20"/>
      <c r="Y61" s="20"/>
      <c r="Z61" s="20"/>
      <c r="AA61" s="20"/>
    </row>
    <row r="62" spans="1:27" x14ac:dyDescent="0.3">
      <c r="A62" s="66"/>
      <c r="B62" s="66"/>
      <c r="C62" s="47" t="s">
        <v>181</v>
      </c>
      <c r="D62" s="48"/>
      <c r="E62" s="40" t="s">
        <v>124</v>
      </c>
      <c r="F62" s="41"/>
      <c r="G62" s="20">
        <v>3</v>
      </c>
      <c r="H62" s="20">
        <v>3</v>
      </c>
      <c r="I62" s="20">
        <v>3</v>
      </c>
      <c r="J62" s="20">
        <v>3</v>
      </c>
      <c r="K62" s="20">
        <v>3</v>
      </c>
      <c r="L62" s="20">
        <v>3</v>
      </c>
      <c r="M62" s="20">
        <v>3</v>
      </c>
      <c r="N62" s="20">
        <v>3</v>
      </c>
      <c r="O62" s="20">
        <v>3</v>
      </c>
      <c r="P62" s="20">
        <v>3</v>
      </c>
      <c r="Q62" s="20">
        <v>3</v>
      </c>
      <c r="R62" s="20">
        <v>3</v>
      </c>
      <c r="S62" s="20">
        <v>3</v>
      </c>
      <c r="T62" s="21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</row>
    <row r="63" spans="1:27" x14ac:dyDescent="0.3">
      <c r="A63" s="66"/>
      <c r="B63" s="66"/>
      <c r="C63" s="47" t="s">
        <v>182</v>
      </c>
      <c r="D63" s="48"/>
      <c r="E63" s="40" t="s">
        <v>124</v>
      </c>
      <c r="F63" s="41"/>
      <c r="G63" s="20">
        <v>3</v>
      </c>
      <c r="H63" s="20">
        <v>3</v>
      </c>
      <c r="I63" s="20">
        <v>3</v>
      </c>
      <c r="J63" s="20">
        <v>3</v>
      </c>
      <c r="K63" s="20">
        <v>3</v>
      </c>
      <c r="L63" s="20">
        <v>3</v>
      </c>
      <c r="M63" s="20">
        <v>3</v>
      </c>
      <c r="N63" s="20">
        <v>3</v>
      </c>
      <c r="O63" s="20">
        <v>3</v>
      </c>
      <c r="P63" s="20">
        <v>3</v>
      </c>
      <c r="Q63" s="20">
        <v>3</v>
      </c>
      <c r="R63" s="20">
        <v>3</v>
      </c>
      <c r="S63" s="20">
        <v>3</v>
      </c>
      <c r="T63" s="21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</row>
    <row r="64" spans="1:27" x14ac:dyDescent="0.3">
      <c r="A64" s="66"/>
      <c r="B64" s="66"/>
      <c r="C64" s="47" t="s">
        <v>183</v>
      </c>
      <c r="D64" s="48"/>
      <c r="E64" s="40" t="s">
        <v>124</v>
      </c>
      <c r="F64" s="41"/>
      <c r="G64" s="20">
        <v>3</v>
      </c>
      <c r="H64" s="20">
        <v>3</v>
      </c>
      <c r="I64" s="20">
        <v>3</v>
      </c>
      <c r="J64" s="20">
        <v>3</v>
      </c>
      <c r="K64" s="20">
        <v>3</v>
      </c>
      <c r="L64" s="20">
        <v>3</v>
      </c>
      <c r="M64" s="20">
        <v>3</v>
      </c>
      <c r="N64" s="20">
        <v>3</v>
      </c>
      <c r="O64" s="20">
        <v>3</v>
      </c>
      <c r="P64" s="20">
        <v>3</v>
      </c>
      <c r="Q64" s="20">
        <v>3</v>
      </c>
      <c r="R64" s="20">
        <v>3</v>
      </c>
      <c r="S64" s="20">
        <v>3</v>
      </c>
      <c r="T64" s="21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</row>
    <row r="65" spans="1:27" x14ac:dyDescent="0.3">
      <c r="A65" s="66"/>
      <c r="B65" s="66"/>
      <c r="C65" s="40"/>
      <c r="D65" s="41"/>
      <c r="E65" s="40"/>
      <c r="F65" s="41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3">
        <v>1</v>
      </c>
      <c r="V65" s="20"/>
      <c r="W65" s="20"/>
      <c r="X65" s="20"/>
      <c r="Y65" s="20"/>
      <c r="Z65" s="20"/>
      <c r="AA65" s="20"/>
    </row>
    <row r="66" spans="1:27" x14ac:dyDescent="0.3">
      <c r="A66" s="66"/>
      <c r="B66" s="66"/>
      <c r="C66" s="47" t="s">
        <v>184</v>
      </c>
      <c r="D66" s="48"/>
      <c r="E66" s="40" t="s">
        <v>126</v>
      </c>
      <c r="F66" s="41"/>
      <c r="G66" s="20">
        <v>1</v>
      </c>
      <c r="H66" s="20">
        <v>2</v>
      </c>
      <c r="I66" s="20">
        <v>2</v>
      </c>
      <c r="J66" s="20">
        <v>2</v>
      </c>
      <c r="K66" s="20">
        <v>2</v>
      </c>
      <c r="L66" s="20">
        <v>2</v>
      </c>
      <c r="M66" s="20">
        <v>2</v>
      </c>
      <c r="N66" s="20">
        <v>2</v>
      </c>
      <c r="O66" s="20">
        <v>2</v>
      </c>
      <c r="P66" s="20">
        <v>2</v>
      </c>
      <c r="Q66" s="20">
        <v>2</v>
      </c>
      <c r="R66" s="20">
        <v>2</v>
      </c>
      <c r="S66" s="20">
        <v>2</v>
      </c>
      <c r="T66" s="20">
        <v>1</v>
      </c>
      <c r="U66" s="21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</row>
    <row r="67" spans="1:27" x14ac:dyDescent="0.3">
      <c r="A67" s="66"/>
      <c r="B67" s="66"/>
      <c r="C67" s="40"/>
      <c r="D67" s="41"/>
      <c r="E67" s="40"/>
      <c r="F67" s="41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2">
        <v>1</v>
      </c>
      <c r="V67" s="20"/>
      <c r="W67" s="20"/>
      <c r="X67" s="20"/>
      <c r="Y67" s="20"/>
      <c r="Z67" s="20"/>
      <c r="AA67" s="20"/>
    </row>
    <row r="68" spans="1:27" x14ac:dyDescent="0.3">
      <c r="A68" s="66"/>
      <c r="B68" s="66"/>
      <c r="C68" s="47" t="s">
        <v>185</v>
      </c>
      <c r="D68" s="48"/>
      <c r="E68" s="40" t="s">
        <v>124</v>
      </c>
      <c r="F68" s="41"/>
      <c r="G68" s="20">
        <v>2</v>
      </c>
      <c r="H68" s="20">
        <v>2</v>
      </c>
      <c r="I68" s="20">
        <v>2</v>
      </c>
      <c r="J68" s="20">
        <v>2</v>
      </c>
      <c r="K68" s="20">
        <v>2</v>
      </c>
      <c r="L68" s="20">
        <v>2</v>
      </c>
      <c r="M68" s="20">
        <v>2</v>
      </c>
      <c r="N68" s="20">
        <v>2</v>
      </c>
      <c r="O68" s="20">
        <v>2</v>
      </c>
      <c r="P68" s="20">
        <v>2</v>
      </c>
      <c r="Q68" s="20">
        <v>2</v>
      </c>
      <c r="R68" s="20">
        <v>2</v>
      </c>
      <c r="S68" s="20">
        <v>2</v>
      </c>
      <c r="T68" s="20">
        <v>2</v>
      </c>
      <c r="U68" s="21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</row>
    <row r="69" spans="1:27" x14ac:dyDescent="0.3">
      <c r="A69" s="66"/>
      <c r="B69" s="66"/>
      <c r="C69" s="47" t="s">
        <v>186</v>
      </c>
      <c r="D69" s="48"/>
      <c r="E69" s="40" t="s">
        <v>127</v>
      </c>
      <c r="F69" s="41"/>
      <c r="G69" s="20">
        <v>2</v>
      </c>
      <c r="H69" s="20">
        <v>2</v>
      </c>
      <c r="I69" s="20">
        <v>2</v>
      </c>
      <c r="J69" s="20">
        <v>2</v>
      </c>
      <c r="K69" s="20">
        <v>2</v>
      </c>
      <c r="L69" s="20">
        <v>2</v>
      </c>
      <c r="M69" s="20">
        <v>2</v>
      </c>
      <c r="N69" s="20">
        <v>2</v>
      </c>
      <c r="O69" s="20">
        <v>2</v>
      </c>
      <c r="P69" s="20">
        <v>2</v>
      </c>
      <c r="Q69" s="20">
        <v>2</v>
      </c>
      <c r="R69" s="20">
        <v>2</v>
      </c>
      <c r="S69" s="20">
        <v>2</v>
      </c>
      <c r="T69" s="20">
        <v>2</v>
      </c>
      <c r="U69" s="21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</row>
    <row r="70" spans="1:27" x14ac:dyDescent="0.3">
      <c r="A70" s="66"/>
      <c r="B70" s="66"/>
      <c r="C70" s="47" t="s">
        <v>187</v>
      </c>
      <c r="D70" s="48"/>
      <c r="E70" s="40" t="s">
        <v>124</v>
      </c>
      <c r="F70" s="41"/>
      <c r="G70" s="20">
        <v>2</v>
      </c>
      <c r="H70" s="20">
        <v>2</v>
      </c>
      <c r="I70" s="20">
        <v>2</v>
      </c>
      <c r="J70" s="20">
        <v>2</v>
      </c>
      <c r="K70" s="20">
        <v>2</v>
      </c>
      <c r="L70" s="20">
        <v>2</v>
      </c>
      <c r="M70" s="20">
        <v>2</v>
      </c>
      <c r="N70" s="20">
        <v>2</v>
      </c>
      <c r="O70" s="20">
        <v>2</v>
      </c>
      <c r="P70" s="20">
        <v>2</v>
      </c>
      <c r="Q70" s="20">
        <v>2</v>
      </c>
      <c r="R70" s="20">
        <v>2</v>
      </c>
      <c r="S70" s="20">
        <v>2</v>
      </c>
      <c r="T70" s="20">
        <v>2</v>
      </c>
      <c r="U70" s="21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</row>
    <row r="71" spans="1:27" x14ac:dyDescent="0.3">
      <c r="A71" s="66"/>
      <c r="B71" s="66"/>
      <c r="C71" s="47" t="s">
        <v>188</v>
      </c>
      <c r="D71" s="48"/>
      <c r="E71" s="40" t="s">
        <v>124</v>
      </c>
      <c r="F71" s="41"/>
      <c r="G71" s="20">
        <v>2</v>
      </c>
      <c r="H71" s="20">
        <v>2</v>
      </c>
      <c r="I71" s="20">
        <v>2</v>
      </c>
      <c r="J71" s="20">
        <v>2</v>
      </c>
      <c r="K71" s="20">
        <v>2</v>
      </c>
      <c r="L71" s="20">
        <v>2</v>
      </c>
      <c r="M71" s="20">
        <v>2</v>
      </c>
      <c r="N71" s="20">
        <v>2</v>
      </c>
      <c r="O71" s="20">
        <v>2</v>
      </c>
      <c r="P71" s="20">
        <v>2</v>
      </c>
      <c r="Q71" s="20">
        <v>2</v>
      </c>
      <c r="R71" s="20">
        <v>2</v>
      </c>
      <c r="S71" s="20">
        <v>2</v>
      </c>
      <c r="T71" s="20">
        <v>2</v>
      </c>
      <c r="U71" s="20">
        <v>2</v>
      </c>
      <c r="V71" s="21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</row>
    <row r="72" spans="1:27" x14ac:dyDescent="0.3">
      <c r="A72" s="66"/>
      <c r="B72" s="66"/>
      <c r="C72" s="47" t="s">
        <v>189</v>
      </c>
      <c r="D72" s="48"/>
      <c r="E72" s="40" t="s">
        <v>124</v>
      </c>
      <c r="F72" s="41"/>
      <c r="G72" s="20">
        <v>5</v>
      </c>
      <c r="H72" s="20">
        <v>4</v>
      </c>
      <c r="I72" s="20">
        <v>4</v>
      </c>
      <c r="J72" s="20">
        <v>4</v>
      </c>
      <c r="K72" s="20">
        <v>4</v>
      </c>
      <c r="L72" s="20">
        <v>4</v>
      </c>
      <c r="M72" s="20">
        <v>4</v>
      </c>
      <c r="N72" s="20">
        <v>4</v>
      </c>
      <c r="O72" s="20">
        <v>4</v>
      </c>
      <c r="P72" s="20">
        <v>4</v>
      </c>
      <c r="Q72" s="20">
        <v>4</v>
      </c>
      <c r="R72" s="20">
        <v>4</v>
      </c>
      <c r="S72" s="20">
        <v>4</v>
      </c>
      <c r="T72" s="20">
        <v>4</v>
      </c>
      <c r="U72" s="20">
        <v>4</v>
      </c>
      <c r="V72" s="21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</row>
    <row r="73" spans="1:27" x14ac:dyDescent="0.3">
      <c r="A73" s="66"/>
      <c r="B73" s="66"/>
      <c r="C73" s="40"/>
      <c r="D73" s="41"/>
      <c r="E73" s="38"/>
      <c r="F73" s="39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3">
        <v>1</v>
      </c>
      <c r="W73" s="20"/>
      <c r="X73" s="20"/>
      <c r="Y73" s="20"/>
      <c r="Z73" s="20"/>
      <c r="AA73" s="20"/>
    </row>
    <row r="74" spans="1:27" x14ac:dyDescent="0.3">
      <c r="A74" s="66"/>
      <c r="B74" s="66"/>
      <c r="C74" s="47" t="s">
        <v>22</v>
      </c>
      <c r="D74" s="48"/>
      <c r="E74" s="40" t="s">
        <v>47</v>
      </c>
      <c r="F74" s="41"/>
      <c r="G74" s="20">
        <v>8</v>
      </c>
      <c r="H74" s="20">
        <v>10</v>
      </c>
      <c r="I74" s="20">
        <v>10</v>
      </c>
      <c r="J74" s="20">
        <v>10</v>
      </c>
      <c r="K74" s="20">
        <v>10</v>
      </c>
      <c r="L74" s="20">
        <v>10</v>
      </c>
      <c r="M74" s="20">
        <v>10</v>
      </c>
      <c r="N74" s="20">
        <v>10</v>
      </c>
      <c r="O74" s="20">
        <v>10</v>
      </c>
      <c r="P74" s="20">
        <v>10</v>
      </c>
      <c r="Q74" s="20">
        <v>10</v>
      </c>
      <c r="R74" s="20">
        <v>10</v>
      </c>
      <c r="S74" s="20">
        <v>10</v>
      </c>
      <c r="T74" s="20">
        <v>10</v>
      </c>
      <c r="U74" s="20">
        <v>8</v>
      </c>
      <c r="V74" s="20">
        <v>8</v>
      </c>
      <c r="W74" s="21">
        <v>0</v>
      </c>
      <c r="X74" s="20">
        <v>0</v>
      </c>
      <c r="Y74" s="20">
        <v>0</v>
      </c>
      <c r="Z74" s="20">
        <v>0</v>
      </c>
      <c r="AA74" s="20">
        <v>0</v>
      </c>
    </row>
    <row r="75" spans="1:27" x14ac:dyDescent="0.3">
      <c r="A75" s="66"/>
      <c r="B75" s="67"/>
      <c r="C75" s="40"/>
      <c r="D75" s="41"/>
      <c r="E75" s="40"/>
      <c r="F75" s="41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2">
        <v>2</v>
      </c>
      <c r="X75" s="20"/>
      <c r="Y75" s="20"/>
      <c r="Z75" s="20"/>
      <c r="AA75" s="20"/>
    </row>
    <row r="76" spans="1:27" x14ac:dyDescent="0.3">
      <c r="A76" s="66"/>
      <c r="B76" s="65" t="s">
        <v>25</v>
      </c>
      <c r="C76" s="47" t="s">
        <v>190</v>
      </c>
      <c r="D76" s="48"/>
      <c r="E76" s="40" t="s">
        <v>128</v>
      </c>
      <c r="F76" s="41"/>
      <c r="G76" s="20">
        <v>2</v>
      </c>
      <c r="H76" s="20">
        <v>2</v>
      </c>
      <c r="I76" s="20">
        <v>2</v>
      </c>
      <c r="J76" s="20">
        <v>2</v>
      </c>
      <c r="K76" s="20">
        <v>2</v>
      </c>
      <c r="L76" s="20">
        <v>2</v>
      </c>
      <c r="M76" s="20">
        <v>2</v>
      </c>
      <c r="N76" s="20">
        <v>2</v>
      </c>
      <c r="O76" s="20">
        <v>2</v>
      </c>
      <c r="P76" s="20">
        <v>2</v>
      </c>
      <c r="Q76" s="20">
        <v>2</v>
      </c>
      <c r="R76" s="20">
        <v>2</v>
      </c>
      <c r="S76" s="20">
        <v>2</v>
      </c>
      <c r="T76" s="20">
        <v>2</v>
      </c>
      <c r="U76" s="20">
        <v>2</v>
      </c>
      <c r="V76" s="20">
        <v>2</v>
      </c>
      <c r="W76" s="20">
        <v>2</v>
      </c>
      <c r="X76" s="21">
        <v>0</v>
      </c>
      <c r="Y76" s="20">
        <v>0</v>
      </c>
      <c r="Z76" s="20">
        <v>0</v>
      </c>
      <c r="AA76" s="20">
        <v>0</v>
      </c>
    </row>
    <row r="77" spans="1:27" x14ac:dyDescent="0.3">
      <c r="A77" s="66"/>
      <c r="B77" s="66"/>
      <c r="C77" s="47" t="s">
        <v>191</v>
      </c>
      <c r="D77" s="48"/>
      <c r="E77" s="40" t="s">
        <v>85</v>
      </c>
      <c r="F77" s="41"/>
      <c r="G77" s="20">
        <v>2</v>
      </c>
      <c r="H77" s="20">
        <v>1</v>
      </c>
      <c r="I77" s="20">
        <v>1</v>
      </c>
      <c r="J77" s="20">
        <v>1</v>
      </c>
      <c r="K77" s="20">
        <v>1</v>
      </c>
      <c r="L77" s="20">
        <v>1</v>
      </c>
      <c r="M77" s="20">
        <v>1</v>
      </c>
      <c r="N77" s="20">
        <v>1</v>
      </c>
      <c r="O77" s="20">
        <v>1</v>
      </c>
      <c r="P77" s="20">
        <v>1</v>
      </c>
      <c r="Q77" s="20">
        <v>1</v>
      </c>
      <c r="R77" s="20">
        <v>1</v>
      </c>
      <c r="S77" s="20">
        <v>1</v>
      </c>
      <c r="T77" s="20">
        <v>1</v>
      </c>
      <c r="U77" s="20">
        <v>1</v>
      </c>
      <c r="V77" s="20">
        <v>1</v>
      </c>
      <c r="W77" s="20">
        <v>1</v>
      </c>
      <c r="X77" s="21">
        <v>0</v>
      </c>
      <c r="Y77" s="20">
        <v>0</v>
      </c>
      <c r="Z77" s="20">
        <v>0</v>
      </c>
      <c r="AA77" s="20">
        <v>0</v>
      </c>
    </row>
    <row r="78" spans="1:27" x14ac:dyDescent="0.3">
      <c r="A78" s="66"/>
      <c r="B78" s="66"/>
      <c r="C78" s="40"/>
      <c r="D78" s="41"/>
      <c r="E78" s="40"/>
      <c r="F78" s="41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3">
        <v>1</v>
      </c>
      <c r="Y78" s="20"/>
      <c r="Z78" s="20"/>
      <c r="AA78" s="20"/>
    </row>
    <row r="79" spans="1:27" x14ac:dyDescent="0.3">
      <c r="A79" s="66"/>
      <c r="B79" s="66"/>
      <c r="C79" s="47" t="s">
        <v>192</v>
      </c>
      <c r="D79" s="48"/>
      <c r="E79" s="40" t="s">
        <v>122</v>
      </c>
      <c r="F79" s="41"/>
      <c r="G79" s="20">
        <v>1</v>
      </c>
      <c r="H79" s="20">
        <v>1</v>
      </c>
      <c r="I79" s="20">
        <v>1</v>
      </c>
      <c r="J79" s="20">
        <v>1</v>
      </c>
      <c r="K79" s="20">
        <v>1</v>
      </c>
      <c r="L79" s="20">
        <v>1</v>
      </c>
      <c r="M79" s="20">
        <v>1</v>
      </c>
      <c r="N79" s="20">
        <v>1</v>
      </c>
      <c r="O79" s="20">
        <v>1</v>
      </c>
      <c r="P79" s="20">
        <v>1</v>
      </c>
      <c r="Q79" s="20">
        <v>1</v>
      </c>
      <c r="R79" s="20">
        <v>1</v>
      </c>
      <c r="S79" s="20">
        <v>1</v>
      </c>
      <c r="T79" s="20">
        <v>1</v>
      </c>
      <c r="U79" s="20">
        <v>1</v>
      </c>
      <c r="V79" s="20">
        <v>1</v>
      </c>
      <c r="W79" s="20">
        <v>1</v>
      </c>
      <c r="X79" s="21">
        <v>0</v>
      </c>
      <c r="Y79" s="20">
        <v>0</v>
      </c>
      <c r="Z79" s="20">
        <v>0</v>
      </c>
      <c r="AA79" s="20">
        <v>0</v>
      </c>
    </row>
    <row r="80" spans="1:27" x14ac:dyDescent="0.3">
      <c r="A80" s="66"/>
      <c r="B80" s="66"/>
      <c r="C80" s="47" t="s">
        <v>193</v>
      </c>
      <c r="D80" s="48"/>
      <c r="E80" s="40" t="s">
        <v>123</v>
      </c>
      <c r="F80" s="41"/>
      <c r="G80" s="20">
        <v>1</v>
      </c>
      <c r="H80" s="20">
        <v>1</v>
      </c>
      <c r="I80" s="20">
        <v>1</v>
      </c>
      <c r="J80" s="20">
        <v>1</v>
      </c>
      <c r="K80" s="20">
        <v>1</v>
      </c>
      <c r="L80" s="20">
        <v>1</v>
      </c>
      <c r="M80" s="20">
        <v>1</v>
      </c>
      <c r="N80" s="20">
        <v>1</v>
      </c>
      <c r="O80" s="20">
        <v>1</v>
      </c>
      <c r="P80" s="20">
        <v>1</v>
      </c>
      <c r="Q80" s="20">
        <v>1</v>
      </c>
      <c r="R80" s="20">
        <v>1</v>
      </c>
      <c r="S80" s="20">
        <v>1</v>
      </c>
      <c r="T80" s="20">
        <v>1</v>
      </c>
      <c r="U80" s="20">
        <v>1</v>
      </c>
      <c r="V80" s="20">
        <v>1</v>
      </c>
      <c r="W80" s="20">
        <v>1</v>
      </c>
      <c r="X80" s="21">
        <v>0</v>
      </c>
      <c r="Y80" s="20">
        <v>0</v>
      </c>
      <c r="Z80" s="20">
        <v>0</v>
      </c>
      <c r="AA80" s="20">
        <v>0</v>
      </c>
    </row>
    <row r="81" spans="1:27" x14ac:dyDescent="0.3">
      <c r="A81" s="66"/>
      <c r="B81" s="66"/>
      <c r="C81" s="47" t="s">
        <v>194</v>
      </c>
      <c r="D81" s="48"/>
      <c r="E81" s="40" t="s">
        <v>124</v>
      </c>
      <c r="F81" s="41"/>
      <c r="G81" s="20">
        <v>1</v>
      </c>
      <c r="H81" s="20">
        <v>1</v>
      </c>
      <c r="I81" s="20">
        <v>1</v>
      </c>
      <c r="J81" s="20">
        <v>1</v>
      </c>
      <c r="K81" s="20">
        <v>1</v>
      </c>
      <c r="L81" s="20">
        <v>1</v>
      </c>
      <c r="M81" s="20">
        <v>1</v>
      </c>
      <c r="N81" s="20">
        <v>1</v>
      </c>
      <c r="O81" s="20">
        <v>1</v>
      </c>
      <c r="P81" s="20">
        <v>1</v>
      </c>
      <c r="Q81" s="20">
        <v>1</v>
      </c>
      <c r="R81" s="20">
        <v>1</v>
      </c>
      <c r="S81" s="20">
        <v>1</v>
      </c>
      <c r="T81" s="20">
        <v>1</v>
      </c>
      <c r="U81" s="20">
        <v>1</v>
      </c>
      <c r="V81" s="20">
        <v>1</v>
      </c>
      <c r="W81" s="20">
        <v>1</v>
      </c>
      <c r="X81" s="21">
        <v>0</v>
      </c>
      <c r="Y81" s="20">
        <v>0</v>
      </c>
      <c r="Z81" s="20">
        <v>0</v>
      </c>
      <c r="AA81" s="20">
        <v>0</v>
      </c>
    </row>
    <row r="82" spans="1:27" x14ac:dyDescent="0.3">
      <c r="A82" s="66"/>
      <c r="B82" s="66"/>
      <c r="C82" s="47" t="s">
        <v>195</v>
      </c>
      <c r="D82" s="48"/>
      <c r="E82" s="40" t="s">
        <v>128</v>
      </c>
      <c r="F82" s="41"/>
      <c r="G82" s="20">
        <v>2</v>
      </c>
      <c r="H82" s="20">
        <v>1</v>
      </c>
      <c r="I82" s="20">
        <v>1</v>
      </c>
      <c r="J82" s="20">
        <v>1</v>
      </c>
      <c r="K82" s="20">
        <v>1</v>
      </c>
      <c r="L82" s="20">
        <v>1</v>
      </c>
      <c r="M82" s="20">
        <v>1</v>
      </c>
      <c r="N82" s="20">
        <v>1</v>
      </c>
      <c r="O82" s="20">
        <v>1</v>
      </c>
      <c r="P82" s="20">
        <v>1</v>
      </c>
      <c r="Q82" s="20">
        <v>1</v>
      </c>
      <c r="R82" s="20">
        <v>1</v>
      </c>
      <c r="S82" s="20">
        <v>1</v>
      </c>
      <c r="T82" s="20">
        <v>1</v>
      </c>
      <c r="U82" s="20">
        <v>1</v>
      </c>
      <c r="V82" s="20">
        <v>1</v>
      </c>
      <c r="W82" s="20">
        <v>1</v>
      </c>
      <c r="X82" s="21">
        <v>0</v>
      </c>
      <c r="Y82" s="20">
        <v>0</v>
      </c>
      <c r="Z82" s="20">
        <v>0</v>
      </c>
      <c r="AA82" s="20">
        <v>0</v>
      </c>
    </row>
    <row r="83" spans="1:27" x14ac:dyDescent="0.3">
      <c r="A83" s="66"/>
      <c r="B83" s="66"/>
      <c r="C83" s="40"/>
      <c r="D83" s="41"/>
      <c r="E83" s="40"/>
      <c r="F83" s="4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3">
        <v>1</v>
      </c>
      <c r="Y83" s="20"/>
      <c r="Z83" s="20"/>
      <c r="AA83" s="20"/>
    </row>
    <row r="84" spans="1:27" x14ac:dyDescent="0.3">
      <c r="A84" s="66"/>
      <c r="B84" s="66"/>
      <c r="C84" s="47" t="s">
        <v>196</v>
      </c>
      <c r="D84" s="48"/>
      <c r="E84" s="61" t="s">
        <v>123</v>
      </c>
      <c r="F84" s="61"/>
      <c r="G84" s="20">
        <v>1</v>
      </c>
      <c r="H84" s="20">
        <v>1</v>
      </c>
      <c r="I84" s="20">
        <v>1</v>
      </c>
      <c r="J84" s="20">
        <v>1</v>
      </c>
      <c r="K84" s="20">
        <v>1</v>
      </c>
      <c r="L84" s="20">
        <v>1</v>
      </c>
      <c r="M84" s="20">
        <v>1</v>
      </c>
      <c r="N84" s="20">
        <v>1</v>
      </c>
      <c r="O84" s="20">
        <v>1</v>
      </c>
      <c r="P84" s="20">
        <v>1</v>
      </c>
      <c r="Q84" s="20">
        <v>1</v>
      </c>
      <c r="R84" s="20">
        <v>1</v>
      </c>
      <c r="S84" s="20">
        <v>1</v>
      </c>
      <c r="T84" s="20">
        <v>1</v>
      </c>
      <c r="U84" s="20">
        <v>1</v>
      </c>
      <c r="V84" s="20">
        <v>1</v>
      </c>
      <c r="W84" s="20">
        <v>1</v>
      </c>
      <c r="X84" s="21">
        <v>0</v>
      </c>
      <c r="Y84" s="20">
        <v>0</v>
      </c>
      <c r="Z84" s="20">
        <v>0</v>
      </c>
      <c r="AA84" s="20">
        <v>0</v>
      </c>
    </row>
    <row r="85" spans="1:27" x14ac:dyDescent="0.3">
      <c r="A85" s="66"/>
      <c r="B85" s="66"/>
      <c r="C85" s="47" t="s">
        <v>197</v>
      </c>
      <c r="D85" s="48"/>
      <c r="E85" s="40" t="s">
        <v>122</v>
      </c>
      <c r="F85" s="41"/>
      <c r="G85" s="20">
        <v>1</v>
      </c>
      <c r="H85" s="20">
        <v>1</v>
      </c>
      <c r="I85" s="20">
        <v>1</v>
      </c>
      <c r="J85" s="20">
        <v>1</v>
      </c>
      <c r="K85" s="20">
        <v>1</v>
      </c>
      <c r="L85" s="20">
        <v>1</v>
      </c>
      <c r="M85" s="20">
        <v>1</v>
      </c>
      <c r="N85" s="20">
        <v>1</v>
      </c>
      <c r="O85" s="20">
        <v>1</v>
      </c>
      <c r="P85" s="20">
        <v>1</v>
      </c>
      <c r="Q85" s="20">
        <v>1</v>
      </c>
      <c r="R85" s="20">
        <v>1</v>
      </c>
      <c r="S85" s="20">
        <v>1</v>
      </c>
      <c r="T85" s="20">
        <v>1</v>
      </c>
      <c r="U85" s="20">
        <v>1</v>
      </c>
      <c r="V85" s="20">
        <v>1</v>
      </c>
      <c r="W85" s="20">
        <v>1</v>
      </c>
      <c r="X85" s="21">
        <v>0</v>
      </c>
      <c r="Y85" s="20">
        <v>0</v>
      </c>
      <c r="Z85" s="20">
        <v>0</v>
      </c>
      <c r="AA85" s="20">
        <v>0</v>
      </c>
    </row>
    <row r="86" spans="1:27" x14ac:dyDescent="0.3">
      <c r="A86" s="66"/>
      <c r="B86" s="66"/>
      <c r="C86" s="47" t="s">
        <v>198</v>
      </c>
      <c r="D86" s="48"/>
      <c r="E86" s="40" t="s">
        <v>85</v>
      </c>
      <c r="F86" s="41"/>
      <c r="G86" s="20">
        <v>1</v>
      </c>
      <c r="H86" s="20">
        <v>1</v>
      </c>
      <c r="I86" s="20">
        <v>1</v>
      </c>
      <c r="J86" s="20">
        <v>1</v>
      </c>
      <c r="K86" s="20">
        <v>1</v>
      </c>
      <c r="L86" s="20">
        <v>1</v>
      </c>
      <c r="M86" s="20">
        <v>1</v>
      </c>
      <c r="N86" s="20">
        <v>1</v>
      </c>
      <c r="O86" s="20">
        <v>1</v>
      </c>
      <c r="P86" s="20">
        <v>1</v>
      </c>
      <c r="Q86" s="20">
        <v>1</v>
      </c>
      <c r="R86" s="20">
        <v>1</v>
      </c>
      <c r="S86" s="20">
        <v>1</v>
      </c>
      <c r="T86" s="20">
        <v>1</v>
      </c>
      <c r="U86" s="20">
        <v>1</v>
      </c>
      <c r="V86" s="20">
        <v>1</v>
      </c>
      <c r="W86" s="20">
        <v>1</v>
      </c>
      <c r="X86" s="21">
        <v>0</v>
      </c>
      <c r="Y86" s="20">
        <v>0</v>
      </c>
      <c r="Z86" s="20">
        <v>0</v>
      </c>
      <c r="AA86" s="20">
        <v>0</v>
      </c>
    </row>
    <row r="87" spans="1:27" x14ac:dyDescent="0.3">
      <c r="A87" s="66"/>
      <c r="B87" s="65" t="s">
        <v>27</v>
      </c>
      <c r="C87" s="47" t="s">
        <v>199</v>
      </c>
      <c r="D87" s="48"/>
      <c r="E87" s="40" t="s">
        <v>124</v>
      </c>
      <c r="F87" s="41"/>
      <c r="G87" s="20">
        <v>1</v>
      </c>
      <c r="H87" s="20">
        <v>2</v>
      </c>
      <c r="I87" s="20">
        <v>2</v>
      </c>
      <c r="J87" s="20">
        <v>2</v>
      </c>
      <c r="K87" s="20">
        <v>2</v>
      </c>
      <c r="L87" s="20">
        <v>2</v>
      </c>
      <c r="M87" s="20">
        <v>2</v>
      </c>
      <c r="N87" s="20">
        <v>2</v>
      </c>
      <c r="O87" s="20">
        <v>2</v>
      </c>
      <c r="P87" s="20">
        <v>2</v>
      </c>
      <c r="Q87" s="20">
        <v>2</v>
      </c>
      <c r="R87" s="20">
        <v>2</v>
      </c>
      <c r="S87" s="20">
        <v>2</v>
      </c>
      <c r="T87" s="20">
        <v>2</v>
      </c>
      <c r="U87" s="20">
        <v>2</v>
      </c>
      <c r="V87" s="20">
        <v>2</v>
      </c>
      <c r="W87" s="20">
        <v>2</v>
      </c>
      <c r="X87" s="20">
        <v>1</v>
      </c>
      <c r="Y87" s="21">
        <v>0</v>
      </c>
      <c r="Z87" s="20">
        <v>0</v>
      </c>
      <c r="AA87" s="20">
        <v>0</v>
      </c>
    </row>
    <row r="88" spans="1:27" x14ac:dyDescent="0.3">
      <c r="A88" s="66"/>
      <c r="B88" s="66"/>
      <c r="C88" s="40"/>
      <c r="D88" s="41"/>
      <c r="E88" s="40"/>
      <c r="F88" s="4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2">
        <v>1</v>
      </c>
      <c r="Z88" s="20"/>
      <c r="AA88" s="20"/>
    </row>
    <row r="89" spans="1:27" x14ac:dyDescent="0.3">
      <c r="A89" s="66"/>
      <c r="B89" s="66"/>
      <c r="C89" s="47" t="s">
        <v>200</v>
      </c>
      <c r="D89" s="48"/>
      <c r="E89" s="40" t="s">
        <v>127</v>
      </c>
      <c r="F89" s="41"/>
      <c r="G89" s="20">
        <v>1</v>
      </c>
      <c r="H89" s="20">
        <v>1</v>
      </c>
      <c r="I89" s="20">
        <v>1</v>
      </c>
      <c r="J89" s="20">
        <v>1</v>
      </c>
      <c r="K89" s="20">
        <v>1</v>
      </c>
      <c r="L89" s="20">
        <v>1</v>
      </c>
      <c r="M89" s="20">
        <v>1</v>
      </c>
      <c r="N89" s="20">
        <v>1</v>
      </c>
      <c r="O89" s="20">
        <v>1</v>
      </c>
      <c r="P89" s="20">
        <v>1</v>
      </c>
      <c r="Q89" s="20">
        <v>1</v>
      </c>
      <c r="R89" s="20">
        <v>1</v>
      </c>
      <c r="S89" s="20">
        <v>1</v>
      </c>
      <c r="T89" s="20">
        <v>1</v>
      </c>
      <c r="U89" s="20">
        <v>1</v>
      </c>
      <c r="V89" s="20">
        <v>1</v>
      </c>
      <c r="W89" s="20">
        <v>1</v>
      </c>
      <c r="X89" s="20">
        <v>1</v>
      </c>
      <c r="Y89" s="21">
        <v>0</v>
      </c>
      <c r="Z89" s="20">
        <v>0</v>
      </c>
      <c r="AA89" s="20">
        <v>0</v>
      </c>
    </row>
    <row r="90" spans="1:27" x14ac:dyDescent="0.3">
      <c r="A90" s="66"/>
      <c r="B90" s="66"/>
      <c r="C90" s="47" t="s">
        <v>201</v>
      </c>
      <c r="D90" s="48"/>
      <c r="E90" s="40" t="s">
        <v>124</v>
      </c>
      <c r="F90" s="41"/>
      <c r="G90" s="20">
        <v>1</v>
      </c>
      <c r="H90" s="20">
        <v>1</v>
      </c>
      <c r="I90" s="20">
        <v>1</v>
      </c>
      <c r="J90" s="20">
        <v>1</v>
      </c>
      <c r="K90" s="20">
        <v>1</v>
      </c>
      <c r="L90" s="20">
        <v>1</v>
      </c>
      <c r="M90" s="20">
        <v>1</v>
      </c>
      <c r="N90" s="20">
        <v>1</v>
      </c>
      <c r="O90" s="20">
        <v>1</v>
      </c>
      <c r="P90" s="20">
        <v>1</v>
      </c>
      <c r="Q90" s="20">
        <v>1</v>
      </c>
      <c r="R90" s="20">
        <v>1</v>
      </c>
      <c r="S90" s="20">
        <v>1</v>
      </c>
      <c r="T90" s="20">
        <v>1</v>
      </c>
      <c r="U90" s="20">
        <v>1</v>
      </c>
      <c r="V90" s="20">
        <v>1</v>
      </c>
      <c r="W90" s="20">
        <v>1</v>
      </c>
      <c r="X90" s="20">
        <v>1</v>
      </c>
      <c r="Y90" s="21">
        <v>0</v>
      </c>
      <c r="Z90" s="20">
        <v>0</v>
      </c>
      <c r="AA90" s="20">
        <v>0</v>
      </c>
    </row>
    <row r="91" spans="1:27" x14ac:dyDescent="0.3">
      <c r="A91" s="66"/>
      <c r="B91" s="66"/>
      <c r="C91" s="47" t="s">
        <v>202</v>
      </c>
      <c r="D91" s="48"/>
      <c r="E91" s="40" t="s">
        <v>126</v>
      </c>
      <c r="F91" s="41"/>
      <c r="G91" s="20">
        <v>1</v>
      </c>
      <c r="H91" s="20">
        <v>1</v>
      </c>
      <c r="I91" s="20">
        <v>1</v>
      </c>
      <c r="J91" s="20">
        <v>1</v>
      </c>
      <c r="K91" s="20">
        <v>1</v>
      </c>
      <c r="L91" s="20">
        <v>1</v>
      </c>
      <c r="M91" s="20">
        <v>1</v>
      </c>
      <c r="N91" s="20">
        <v>1</v>
      </c>
      <c r="O91" s="20">
        <v>1</v>
      </c>
      <c r="P91" s="20">
        <v>1</v>
      </c>
      <c r="Q91" s="20">
        <v>1</v>
      </c>
      <c r="R91" s="20">
        <v>1</v>
      </c>
      <c r="S91" s="20">
        <v>1</v>
      </c>
      <c r="T91" s="20">
        <v>1</v>
      </c>
      <c r="U91" s="20">
        <v>1</v>
      </c>
      <c r="V91" s="20">
        <v>1</v>
      </c>
      <c r="W91" s="20">
        <v>1</v>
      </c>
      <c r="X91" s="20">
        <v>1</v>
      </c>
      <c r="Y91" s="21">
        <v>0</v>
      </c>
      <c r="Z91" s="20">
        <v>0</v>
      </c>
      <c r="AA91" s="20">
        <v>0</v>
      </c>
    </row>
    <row r="92" spans="1:27" x14ac:dyDescent="0.3">
      <c r="A92" s="66"/>
      <c r="B92" s="66"/>
      <c r="C92" s="47" t="s">
        <v>203</v>
      </c>
      <c r="D92" s="48"/>
      <c r="E92" s="40" t="s">
        <v>124</v>
      </c>
      <c r="F92" s="41"/>
      <c r="G92" s="20">
        <v>2</v>
      </c>
      <c r="H92" s="20">
        <v>1</v>
      </c>
      <c r="I92" s="20">
        <v>1</v>
      </c>
      <c r="J92" s="20">
        <v>1</v>
      </c>
      <c r="K92" s="20">
        <v>1</v>
      </c>
      <c r="L92" s="20">
        <v>1</v>
      </c>
      <c r="M92" s="20">
        <v>1</v>
      </c>
      <c r="N92" s="20">
        <v>1</v>
      </c>
      <c r="O92" s="20">
        <v>1</v>
      </c>
      <c r="P92" s="20">
        <v>1</v>
      </c>
      <c r="Q92" s="20">
        <v>1</v>
      </c>
      <c r="R92" s="20">
        <v>1</v>
      </c>
      <c r="S92" s="20">
        <v>1</v>
      </c>
      <c r="T92" s="20">
        <v>1</v>
      </c>
      <c r="U92" s="20">
        <v>1</v>
      </c>
      <c r="V92" s="20">
        <v>1</v>
      </c>
      <c r="W92" s="20">
        <v>1</v>
      </c>
      <c r="X92" s="20">
        <v>1</v>
      </c>
      <c r="Y92" s="21">
        <v>0</v>
      </c>
      <c r="Z92" s="20">
        <v>0</v>
      </c>
      <c r="AA92" s="20">
        <v>0</v>
      </c>
    </row>
    <row r="93" spans="1:27" x14ac:dyDescent="0.3">
      <c r="A93" s="66"/>
      <c r="B93" s="66"/>
      <c r="C93" s="40"/>
      <c r="D93" s="41"/>
      <c r="E93" s="40"/>
      <c r="F93" s="4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3">
        <v>1</v>
      </c>
      <c r="Z93" s="20"/>
      <c r="AA93" s="20"/>
    </row>
    <row r="94" spans="1:27" x14ac:dyDescent="0.3">
      <c r="A94" s="66"/>
      <c r="B94" s="66"/>
      <c r="C94" s="43" t="s">
        <v>204</v>
      </c>
      <c r="D94" s="44"/>
      <c r="E94" s="40" t="s">
        <v>124</v>
      </c>
      <c r="F94" s="41"/>
      <c r="G94" s="20">
        <v>1</v>
      </c>
      <c r="H94" s="20">
        <v>2</v>
      </c>
      <c r="I94" s="20">
        <v>2</v>
      </c>
      <c r="J94" s="20">
        <v>2</v>
      </c>
      <c r="K94" s="20">
        <v>2</v>
      </c>
      <c r="L94" s="20">
        <v>2</v>
      </c>
      <c r="M94" s="20">
        <v>2</v>
      </c>
      <c r="N94" s="20">
        <v>2</v>
      </c>
      <c r="O94" s="20">
        <v>2</v>
      </c>
      <c r="P94" s="20">
        <v>2</v>
      </c>
      <c r="Q94" s="20">
        <v>2</v>
      </c>
      <c r="R94" s="20">
        <v>2</v>
      </c>
      <c r="S94" s="20">
        <v>2</v>
      </c>
      <c r="T94" s="20">
        <v>2</v>
      </c>
      <c r="U94" s="20">
        <v>2</v>
      </c>
      <c r="V94" s="20">
        <v>2</v>
      </c>
      <c r="W94" s="20">
        <v>2</v>
      </c>
      <c r="X94" s="20">
        <v>1</v>
      </c>
      <c r="Y94" s="21">
        <v>0</v>
      </c>
      <c r="Z94" s="20">
        <v>0</v>
      </c>
      <c r="AA94" s="20">
        <v>0</v>
      </c>
    </row>
    <row r="95" spans="1:27" x14ac:dyDescent="0.3">
      <c r="A95" s="66"/>
      <c r="B95" s="66"/>
      <c r="C95" s="40"/>
      <c r="D95" s="41"/>
      <c r="E95" s="40"/>
      <c r="F95" s="4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2">
        <v>1</v>
      </c>
      <c r="Z95" s="20"/>
      <c r="AA95" s="20"/>
    </row>
    <row r="96" spans="1:27" x14ac:dyDescent="0.3">
      <c r="A96" s="66"/>
      <c r="B96" s="66"/>
      <c r="C96" s="43" t="s">
        <v>205</v>
      </c>
      <c r="D96" s="44"/>
      <c r="E96" s="40" t="s">
        <v>126</v>
      </c>
      <c r="F96" s="41"/>
      <c r="G96" s="20">
        <v>1</v>
      </c>
      <c r="H96" s="20">
        <v>1</v>
      </c>
      <c r="I96" s="20">
        <v>1</v>
      </c>
      <c r="J96" s="20">
        <v>1</v>
      </c>
      <c r="K96" s="20">
        <v>1</v>
      </c>
      <c r="L96" s="20">
        <v>1</v>
      </c>
      <c r="M96" s="20">
        <v>1</v>
      </c>
      <c r="N96" s="20">
        <v>1</v>
      </c>
      <c r="O96" s="20">
        <v>1</v>
      </c>
      <c r="P96" s="20">
        <v>1</v>
      </c>
      <c r="Q96" s="20">
        <v>1</v>
      </c>
      <c r="R96" s="20">
        <v>1</v>
      </c>
      <c r="S96" s="20">
        <v>1</v>
      </c>
      <c r="T96" s="20">
        <v>1</v>
      </c>
      <c r="U96" s="20">
        <v>1</v>
      </c>
      <c r="V96" s="20">
        <v>1</v>
      </c>
      <c r="W96" s="20">
        <v>1</v>
      </c>
      <c r="X96" s="20">
        <v>1</v>
      </c>
      <c r="Y96" s="21">
        <v>0</v>
      </c>
      <c r="Z96" s="20">
        <v>0</v>
      </c>
      <c r="AA96" s="20">
        <v>0</v>
      </c>
    </row>
    <row r="97" spans="1:27" x14ac:dyDescent="0.3">
      <c r="A97" s="66"/>
      <c r="B97" s="66"/>
      <c r="C97" s="43" t="s">
        <v>206</v>
      </c>
      <c r="D97" s="44"/>
      <c r="E97" s="40" t="s">
        <v>127</v>
      </c>
      <c r="F97" s="41"/>
      <c r="G97" s="20">
        <v>1</v>
      </c>
      <c r="H97" s="20">
        <v>1</v>
      </c>
      <c r="I97" s="20">
        <v>1</v>
      </c>
      <c r="J97" s="20">
        <v>1</v>
      </c>
      <c r="K97" s="20">
        <v>1</v>
      </c>
      <c r="L97" s="20">
        <v>1</v>
      </c>
      <c r="M97" s="20">
        <v>1</v>
      </c>
      <c r="N97" s="20">
        <v>1</v>
      </c>
      <c r="O97" s="20">
        <v>1</v>
      </c>
      <c r="P97" s="20">
        <v>1</v>
      </c>
      <c r="Q97" s="20">
        <v>1</v>
      </c>
      <c r="R97" s="20">
        <v>1</v>
      </c>
      <c r="S97" s="20">
        <v>1</v>
      </c>
      <c r="T97" s="20">
        <v>1</v>
      </c>
      <c r="U97" s="20">
        <v>1</v>
      </c>
      <c r="V97" s="20">
        <v>1</v>
      </c>
      <c r="W97" s="20">
        <v>1</v>
      </c>
      <c r="X97" s="20">
        <v>1</v>
      </c>
      <c r="Y97" s="21">
        <v>0</v>
      </c>
      <c r="Z97" s="20">
        <v>0</v>
      </c>
      <c r="AA97" s="20">
        <v>0</v>
      </c>
    </row>
    <row r="98" spans="1:27" x14ac:dyDescent="0.3">
      <c r="A98" s="66"/>
      <c r="B98" s="66"/>
      <c r="C98" s="43" t="s">
        <v>207</v>
      </c>
      <c r="D98" s="44"/>
      <c r="E98" s="40" t="s">
        <v>124</v>
      </c>
      <c r="F98" s="41"/>
      <c r="G98" s="20">
        <v>1</v>
      </c>
      <c r="H98" s="20">
        <v>2</v>
      </c>
      <c r="I98" s="20">
        <v>2</v>
      </c>
      <c r="J98" s="20">
        <v>2</v>
      </c>
      <c r="K98" s="20">
        <v>2</v>
      </c>
      <c r="L98" s="20">
        <v>2</v>
      </c>
      <c r="M98" s="20">
        <v>2</v>
      </c>
      <c r="N98" s="20">
        <v>2</v>
      </c>
      <c r="O98" s="20">
        <v>2</v>
      </c>
      <c r="P98" s="20">
        <v>2</v>
      </c>
      <c r="Q98" s="20">
        <v>2</v>
      </c>
      <c r="R98" s="20">
        <v>2</v>
      </c>
      <c r="S98" s="20">
        <v>2</v>
      </c>
      <c r="T98" s="20">
        <v>2</v>
      </c>
      <c r="U98" s="20">
        <v>2</v>
      </c>
      <c r="V98" s="20">
        <v>2</v>
      </c>
      <c r="W98" s="20">
        <v>2</v>
      </c>
      <c r="X98" s="20">
        <v>1</v>
      </c>
      <c r="Y98" s="21">
        <v>0</v>
      </c>
      <c r="Z98" s="20">
        <v>0</v>
      </c>
      <c r="AA98" s="20">
        <v>0</v>
      </c>
    </row>
    <row r="99" spans="1:27" x14ac:dyDescent="0.3">
      <c r="A99" s="66"/>
      <c r="B99" s="66"/>
      <c r="C99" s="42"/>
      <c r="D99" s="42"/>
      <c r="E99" s="40"/>
      <c r="F99" s="4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2">
        <v>1</v>
      </c>
      <c r="Z99" s="20"/>
      <c r="AA99" s="20"/>
    </row>
    <row r="100" spans="1:27" x14ac:dyDescent="0.3">
      <c r="A100" s="66"/>
      <c r="B100" s="65" t="s">
        <v>36</v>
      </c>
      <c r="C100" s="47" t="s">
        <v>208</v>
      </c>
      <c r="D100" s="48"/>
      <c r="E100" s="49" t="s">
        <v>126</v>
      </c>
      <c r="F100" s="50"/>
      <c r="G100" s="20">
        <v>2</v>
      </c>
      <c r="H100" s="20">
        <v>2</v>
      </c>
      <c r="I100" s="20">
        <v>2</v>
      </c>
      <c r="J100" s="20">
        <v>2</v>
      </c>
      <c r="K100" s="20">
        <v>2</v>
      </c>
      <c r="L100" s="20">
        <v>2</v>
      </c>
      <c r="M100" s="20">
        <v>2</v>
      </c>
      <c r="N100" s="20">
        <v>2</v>
      </c>
      <c r="O100" s="20">
        <v>2</v>
      </c>
      <c r="P100" s="20">
        <v>2</v>
      </c>
      <c r="Q100" s="20">
        <v>2</v>
      </c>
      <c r="R100" s="20">
        <v>2</v>
      </c>
      <c r="S100" s="20">
        <v>2</v>
      </c>
      <c r="T100" s="20">
        <v>2</v>
      </c>
      <c r="U100" s="20">
        <v>2</v>
      </c>
      <c r="V100" s="20">
        <v>2</v>
      </c>
      <c r="W100" s="20">
        <v>2</v>
      </c>
      <c r="X100" s="20">
        <v>2</v>
      </c>
      <c r="Y100" s="20">
        <v>2</v>
      </c>
      <c r="Z100" s="21">
        <v>0</v>
      </c>
      <c r="AA100" s="20">
        <v>0</v>
      </c>
    </row>
    <row r="101" spans="1:27" x14ac:dyDescent="0.3">
      <c r="A101" s="66"/>
      <c r="B101" s="66"/>
      <c r="C101" s="47" t="s">
        <v>209</v>
      </c>
      <c r="D101" s="48"/>
      <c r="E101" s="49" t="s">
        <v>128</v>
      </c>
      <c r="F101" s="50"/>
      <c r="G101" s="20">
        <v>2</v>
      </c>
      <c r="H101" s="20">
        <v>1</v>
      </c>
      <c r="I101" s="20">
        <v>1</v>
      </c>
      <c r="J101" s="20">
        <v>1</v>
      </c>
      <c r="K101" s="20">
        <v>1</v>
      </c>
      <c r="L101" s="20">
        <v>1</v>
      </c>
      <c r="M101" s="20">
        <v>1</v>
      </c>
      <c r="N101" s="20">
        <v>1</v>
      </c>
      <c r="O101" s="20">
        <v>1</v>
      </c>
      <c r="P101" s="20">
        <v>1</v>
      </c>
      <c r="Q101" s="20">
        <v>1</v>
      </c>
      <c r="R101" s="20">
        <v>1</v>
      </c>
      <c r="S101" s="20">
        <v>1</v>
      </c>
      <c r="T101" s="20">
        <v>1</v>
      </c>
      <c r="U101" s="20">
        <v>1</v>
      </c>
      <c r="V101" s="20">
        <v>1</v>
      </c>
      <c r="W101" s="20">
        <v>1</v>
      </c>
      <c r="X101" s="20">
        <v>1</v>
      </c>
      <c r="Y101" s="20">
        <v>1</v>
      </c>
      <c r="Z101" s="21">
        <v>0</v>
      </c>
      <c r="AA101" s="20">
        <v>0</v>
      </c>
    </row>
    <row r="102" spans="1:27" x14ac:dyDescent="0.3">
      <c r="A102" s="66"/>
      <c r="B102" s="66"/>
      <c r="C102" s="40"/>
      <c r="D102" s="41"/>
      <c r="E102" s="49"/>
      <c r="F102" s="5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3">
        <v>1</v>
      </c>
      <c r="AA102" s="20"/>
    </row>
    <row r="103" spans="1:27" x14ac:dyDescent="0.3">
      <c r="A103" s="66"/>
      <c r="B103" s="66"/>
      <c r="C103" s="47" t="s">
        <v>210</v>
      </c>
      <c r="D103" s="48"/>
      <c r="E103" s="49" t="s">
        <v>85</v>
      </c>
      <c r="F103" s="50"/>
      <c r="G103" s="20">
        <v>1</v>
      </c>
      <c r="H103" s="20">
        <v>1</v>
      </c>
      <c r="I103" s="20">
        <v>1</v>
      </c>
      <c r="J103" s="20">
        <v>1</v>
      </c>
      <c r="K103" s="20">
        <v>1</v>
      </c>
      <c r="L103" s="20">
        <v>1</v>
      </c>
      <c r="M103" s="20">
        <v>1</v>
      </c>
      <c r="N103" s="20">
        <v>1</v>
      </c>
      <c r="O103" s="20">
        <v>1</v>
      </c>
      <c r="P103" s="20">
        <v>1</v>
      </c>
      <c r="Q103" s="20">
        <v>1</v>
      </c>
      <c r="R103" s="20">
        <v>1</v>
      </c>
      <c r="S103" s="20">
        <v>1</v>
      </c>
      <c r="T103" s="20">
        <v>1</v>
      </c>
      <c r="U103" s="20">
        <v>1</v>
      </c>
      <c r="V103" s="20">
        <v>1</v>
      </c>
      <c r="W103" s="20">
        <v>1</v>
      </c>
      <c r="X103" s="20">
        <v>1</v>
      </c>
      <c r="Y103" s="20">
        <v>1</v>
      </c>
      <c r="Z103" s="21">
        <v>0</v>
      </c>
      <c r="AA103" s="20">
        <v>0</v>
      </c>
    </row>
    <row r="104" spans="1:27" x14ac:dyDescent="0.3">
      <c r="A104" s="66"/>
      <c r="B104" s="66"/>
      <c r="C104" s="47" t="s">
        <v>211</v>
      </c>
      <c r="D104" s="48"/>
      <c r="E104" s="49" t="s">
        <v>122</v>
      </c>
      <c r="F104" s="50"/>
      <c r="G104" s="20">
        <v>1</v>
      </c>
      <c r="H104" s="20">
        <v>1</v>
      </c>
      <c r="I104" s="20">
        <v>1</v>
      </c>
      <c r="J104" s="20">
        <v>1</v>
      </c>
      <c r="K104" s="20">
        <v>1</v>
      </c>
      <c r="L104" s="20">
        <v>1</v>
      </c>
      <c r="M104" s="20">
        <v>1</v>
      </c>
      <c r="N104" s="20">
        <v>1</v>
      </c>
      <c r="O104" s="20">
        <v>1</v>
      </c>
      <c r="P104" s="20">
        <v>1</v>
      </c>
      <c r="Q104" s="20">
        <v>1</v>
      </c>
      <c r="R104" s="20">
        <v>1</v>
      </c>
      <c r="S104" s="20">
        <v>1</v>
      </c>
      <c r="T104" s="20">
        <v>1</v>
      </c>
      <c r="U104" s="20">
        <v>1</v>
      </c>
      <c r="V104" s="20">
        <v>1</v>
      </c>
      <c r="W104" s="20">
        <v>1</v>
      </c>
      <c r="X104" s="20">
        <v>1</v>
      </c>
      <c r="Y104" s="20">
        <v>1</v>
      </c>
      <c r="Z104" s="21">
        <v>0</v>
      </c>
      <c r="AA104" s="20">
        <v>0</v>
      </c>
    </row>
    <row r="105" spans="1:27" x14ac:dyDescent="0.3">
      <c r="A105" s="66"/>
      <c r="B105" s="66"/>
      <c r="C105" s="47" t="s">
        <v>212</v>
      </c>
      <c r="D105" s="48"/>
      <c r="E105" s="49" t="s">
        <v>123</v>
      </c>
      <c r="F105" s="50"/>
      <c r="G105" s="20">
        <v>2</v>
      </c>
      <c r="H105" s="20">
        <v>1</v>
      </c>
      <c r="I105" s="20">
        <v>1</v>
      </c>
      <c r="J105" s="20">
        <v>1</v>
      </c>
      <c r="K105" s="20">
        <v>1</v>
      </c>
      <c r="L105" s="20">
        <v>1</v>
      </c>
      <c r="M105" s="20">
        <v>1</v>
      </c>
      <c r="N105" s="20">
        <v>1</v>
      </c>
      <c r="O105" s="20">
        <v>1</v>
      </c>
      <c r="P105" s="20">
        <v>1</v>
      </c>
      <c r="Q105" s="20">
        <v>1</v>
      </c>
      <c r="R105" s="20">
        <v>1</v>
      </c>
      <c r="S105" s="20">
        <v>1</v>
      </c>
      <c r="T105" s="20">
        <v>1</v>
      </c>
      <c r="U105" s="20">
        <v>1</v>
      </c>
      <c r="V105" s="20">
        <v>1</v>
      </c>
      <c r="W105" s="20">
        <v>1</v>
      </c>
      <c r="X105" s="20">
        <v>1</v>
      </c>
      <c r="Y105" s="20">
        <v>1</v>
      </c>
      <c r="Z105" s="21">
        <v>0</v>
      </c>
      <c r="AA105" s="20">
        <v>0</v>
      </c>
    </row>
    <row r="106" spans="1:27" x14ac:dyDescent="0.3">
      <c r="A106" s="66"/>
      <c r="B106" s="66"/>
      <c r="C106" s="40"/>
      <c r="D106" s="41"/>
      <c r="E106" s="49"/>
      <c r="F106" s="5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3">
        <v>1</v>
      </c>
      <c r="AA106" s="20"/>
    </row>
    <row r="107" spans="1:27" x14ac:dyDescent="0.3">
      <c r="A107" s="66"/>
      <c r="B107" s="66"/>
      <c r="C107" s="47" t="s">
        <v>213</v>
      </c>
      <c r="D107" s="48"/>
      <c r="E107" s="49" t="s">
        <v>128</v>
      </c>
      <c r="F107" s="50"/>
      <c r="G107" s="20">
        <v>1</v>
      </c>
      <c r="H107" s="20">
        <v>1</v>
      </c>
      <c r="I107" s="20">
        <v>1</v>
      </c>
      <c r="J107" s="20">
        <v>1</v>
      </c>
      <c r="K107" s="20">
        <v>1</v>
      </c>
      <c r="L107" s="20">
        <v>1</v>
      </c>
      <c r="M107" s="20">
        <v>1</v>
      </c>
      <c r="N107" s="20">
        <v>1</v>
      </c>
      <c r="O107" s="20">
        <v>1</v>
      </c>
      <c r="P107" s="20">
        <v>1</v>
      </c>
      <c r="Q107" s="20">
        <v>1</v>
      </c>
      <c r="R107" s="20">
        <v>1</v>
      </c>
      <c r="S107" s="20">
        <v>1</v>
      </c>
      <c r="T107" s="20">
        <v>1</v>
      </c>
      <c r="U107" s="20">
        <v>1</v>
      </c>
      <c r="V107" s="20">
        <v>1</v>
      </c>
      <c r="W107" s="20">
        <v>1</v>
      </c>
      <c r="X107" s="20">
        <v>1</v>
      </c>
      <c r="Y107" s="20">
        <v>1</v>
      </c>
      <c r="Z107" s="21">
        <v>0</v>
      </c>
      <c r="AA107" s="20">
        <v>0</v>
      </c>
    </row>
    <row r="108" spans="1:27" x14ac:dyDescent="0.3">
      <c r="A108" s="66"/>
      <c r="B108" s="66"/>
      <c r="C108" s="47" t="s">
        <v>214</v>
      </c>
      <c r="D108" s="48"/>
      <c r="E108" s="49" t="s">
        <v>85</v>
      </c>
      <c r="F108" s="50"/>
      <c r="G108" s="20">
        <v>1</v>
      </c>
      <c r="H108" s="20">
        <v>1</v>
      </c>
      <c r="I108" s="20">
        <v>1</v>
      </c>
      <c r="J108" s="20">
        <v>1</v>
      </c>
      <c r="K108" s="20">
        <v>1</v>
      </c>
      <c r="L108" s="20">
        <v>1</v>
      </c>
      <c r="M108" s="20">
        <v>1</v>
      </c>
      <c r="N108" s="20">
        <v>1</v>
      </c>
      <c r="O108" s="20">
        <v>1</v>
      </c>
      <c r="P108" s="20">
        <v>1</v>
      </c>
      <c r="Q108" s="20">
        <v>1</v>
      </c>
      <c r="R108" s="20">
        <v>1</v>
      </c>
      <c r="S108" s="20">
        <v>1</v>
      </c>
      <c r="T108" s="20">
        <v>1</v>
      </c>
      <c r="U108" s="20">
        <v>1</v>
      </c>
      <c r="V108" s="20">
        <v>1</v>
      </c>
      <c r="W108" s="20">
        <v>1</v>
      </c>
      <c r="X108" s="20">
        <v>1</v>
      </c>
      <c r="Y108" s="20">
        <v>1</v>
      </c>
      <c r="Z108" s="21">
        <v>0</v>
      </c>
      <c r="AA108" s="20">
        <v>0</v>
      </c>
    </row>
    <row r="109" spans="1:27" x14ac:dyDescent="0.3">
      <c r="A109" s="66"/>
      <c r="B109" s="66"/>
      <c r="C109" s="47" t="s">
        <v>215</v>
      </c>
      <c r="D109" s="48"/>
      <c r="E109" s="49" t="s">
        <v>124</v>
      </c>
      <c r="F109" s="50"/>
      <c r="G109" s="20">
        <v>1</v>
      </c>
      <c r="H109" s="20">
        <v>1</v>
      </c>
      <c r="I109" s="20">
        <v>1</v>
      </c>
      <c r="J109" s="20">
        <v>1</v>
      </c>
      <c r="K109" s="20">
        <v>1</v>
      </c>
      <c r="L109" s="20">
        <v>1</v>
      </c>
      <c r="M109" s="20">
        <v>1</v>
      </c>
      <c r="N109" s="20">
        <v>1</v>
      </c>
      <c r="O109" s="20">
        <v>1</v>
      </c>
      <c r="P109" s="20">
        <v>1</v>
      </c>
      <c r="Q109" s="20">
        <v>1</v>
      </c>
      <c r="R109" s="20">
        <v>1</v>
      </c>
      <c r="S109" s="20">
        <v>1</v>
      </c>
      <c r="T109" s="20">
        <v>1</v>
      </c>
      <c r="U109" s="20">
        <v>1</v>
      </c>
      <c r="V109" s="20">
        <v>1</v>
      </c>
      <c r="W109" s="20">
        <v>1</v>
      </c>
      <c r="X109" s="20">
        <v>1</v>
      </c>
      <c r="Y109" s="20">
        <v>1</v>
      </c>
      <c r="Z109" s="21">
        <v>0</v>
      </c>
      <c r="AA109" s="20">
        <v>0</v>
      </c>
    </row>
    <row r="110" spans="1:27" x14ac:dyDescent="0.3">
      <c r="A110" s="66"/>
      <c r="B110" s="66"/>
      <c r="C110" s="47" t="s">
        <v>216</v>
      </c>
      <c r="D110" s="48"/>
      <c r="E110" s="49" t="s">
        <v>47</v>
      </c>
      <c r="F110" s="50"/>
      <c r="G110" s="20">
        <v>1</v>
      </c>
      <c r="H110" s="20">
        <v>2</v>
      </c>
      <c r="I110" s="20">
        <v>2</v>
      </c>
      <c r="J110" s="20">
        <v>2</v>
      </c>
      <c r="K110" s="20">
        <v>2</v>
      </c>
      <c r="L110" s="20">
        <v>2</v>
      </c>
      <c r="M110" s="20">
        <v>2</v>
      </c>
      <c r="N110" s="20">
        <v>2</v>
      </c>
      <c r="O110" s="20">
        <v>2</v>
      </c>
      <c r="P110" s="20">
        <v>2</v>
      </c>
      <c r="Q110" s="20">
        <v>2</v>
      </c>
      <c r="R110" s="20">
        <v>2</v>
      </c>
      <c r="S110" s="20">
        <v>2</v>
      </c>
      <c r="T110" s="20">
        <v>2</v>
      </c>
      <c r="U110" s="20">
        <v>2</v>
      </c>
      <c r="V110" s="20">
        <v>2</v>
      </c>
      <c r="W110" s="20">
        <v>2</v>
      </c>
      <c r="X110" s="20">
        <v>2</v>
      </c>
      <c r="Y110" s="20">
        <v>1</v>
      </c>
      <c r="Z110" s="21">
        <v>0</v>
      </c>
      <c r="AA110" s="20">
        <v>0</v>
      </c>
    </row>
    <row r="111" spans="1:27" x14ac:dyDescent="0.3">
      <c r="A111" s="66"/>
      <c r="B111" s="66"/>
      <c r="C111" s="40"/>
      <c r="D111" s="41"/>
      <c r="E111" s="40"/>
      <c r="F111" s="4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2">
        <v>1</v>
      </c>
      <c r="AA111" s="20"/>
    </row>
    <row r="112" spans="1:27" x14ac:dyDescent="0.3">
      <c r="A112" s="66"/>
      <c r="B112" s="65" t="s">
        <v>229</v>
      </c>
      <c r="C112" s="47" t="s">
        <v>45</v>
      </c>
      <c r="D112" s="48"/>
      <c r="E112" s="40" t="s">
        <v>47</v>
      </c>
      <c r="F112" s="41"/>
      <c r="G112" s="20">
        <v>5</v>
      </c>
      <c r="H112" s="20">
        <v>5</v>
      </c>
      <c r="I112" s="20">
        <v>5</v>
      </c>
      <c r="J112" s="20">
        <v>5</v>
      </c>
      <c r="K112" s="20">
        <v>5</v>
      </c>
      <c r="L112" s="20">
        <v>5</v>
      </c>
      <c r="M112" s="20">
        <v>5</v>
      </c>
      <c r="N112" s="20">
        <v>5</v>
      </c>
      <c r="O112" s="20">
        <v>5</v>
      </c>
      <c r="P112" s="20">
        <v>5</v>
      </c>
      <c r="Q112" s="20">
        <v>5</v>
      </c>
      <c r="R112" s="20">
        <v>5</v>
      </c>
      <c r="S112" s="20">
        <v>5</v>
      </c>
      <c r="T112" s="20">
        <v>5</v>
      </c>
      <c r="U112" s="20">
        <v>5</v>
      </c>
      <c r="V112" s="20">
        <v>5</v>
      </c>
      <c r="W112" s="20">
        <v>5</v>
      </c>
      <c r="X112" s="20">
        <v>5</v>
      </c>
      <c r="Y112" s="20">
        <v>5</v>
      </c>
      <c r="Z112" s="20">
        <v>5</v>
      </c>
      <c r="AA112" s="21">
        <v>0</v>
      </c>
    </row>
    <row r="113" spans="1:27" x14ac:dyDescent="0.3">
      <c r="A113" s="66"/>
      <c r="B113" s="67"/>
      <c r="C113" s="47" t="s">
        <v>46</v>
      </c>
      <c r="D113" s="48"/>
      <c r="E113" s="40" t="s">
        <v>47</v>
      </c>
      <c r="F113" s="41"/>
      <c r="G113" s="20">
        <v>5</v>
      </c>
      <c r="H113" s="20">
        <v>5</v>
      </c>
      <c r="I113" s="20">
        <v>5</v>
      </c>
      <c r="J113" s="20">
        <v>5</v>
      </c>
      <c r="K113" s="20">
        <v>5</v>
      </c>
      <c r="L113" s="20">
        <v>5</v>
      </c>
      <c r="M113" s="20">
        <v>5</v>
      </c>
      <c r="N113" s="20">
        <v>5</v>
      </c>
      <c r="O113" s="20">
        <v>5</v>
      </c>
      <c r="P113" s="20">
        <v>5</v>
      </c>
      <c r="Q113" s="20">
        <v>5</v>
      </c>
      <c r="R113" s="20">
        <v>5</v>
      </c>
      <c r="S113" s="20">
        <v>5</v>
      </c>
      <c r="T113" s="20">
        <v>5</v>
      </c>
      <c r="U113" s="20">
        <v>5</v>
      </c>
      <c r="V113" s="20">
        <v>5</v>
      </c>
      <c r="W113" s="20">
        <v>5</v>
      </c>
      <c r="X113" s="20">
        <v>5</v>
      </c>
      <c r="Y113" s="20">
        <v>5</v>
      </c>
      <c r="Z113" s="20">
        <v>5</v>
      </c>
      <c r="AA113" s="21">
        <v>0</v>
      </c>
    </row>
    <row r="114" spans="1:27" x14ac:dyDescent="0.3">
      <c r="A114" s="66"/>
      <c r="B114" s="75" t="s">
        <v>12</v>
      </c>
      <c r="C114" s="76"/>
      <c r="D114" s="77"/>
      <c r="E114" s="68" t="s">
        <v>11</v>
      </c>
      <c r="F114" s="69"/>
      <c r="G114" s="40">
        <f>SUM(G14:G113)</f>
        <v>182</v>
      </c>
      <c r="H114" s="41"/>
      <c r="I114" s="20">
        <f>SUM(I14:I113)</f>
        <v>183</v>
      </c>
      <c r="J114" s="20">
        <f>SUM(J14:J113)</f>
        <v>171</v>
      </c>
      <c r="K114" s="20">
        <f>SUM(K14:K113)-K16</f>
        <v>163</v>
      </c>
      <c r="L114" s="20">
        <f>SUM(L14:L113)</f>
        <v>150</v>
      </c>
      <c r="M114" s="20">
        <f>SUM(M14:M113)</f>
        <v>141</v>
      </c>
      <c r="N114" s="20">
        <f>SUM(N14:N113)-N32</f>
        <v>134</v>
      </c>
      <c r="O114" s="20">
        <f>SUM(O14:O113)</f>
        <v>125</v>
      </c>
      <c r="P114" s="20">
        <f>SUM(P14:P113)</f>
        <v>115</v>
      </c>
      <c r="Q114" s="20">
        <f>SUM(Q14:Q113)-Q47</f>
        <v>103</v>
      </c>
      <c r="R114" s="20">
        <f>SUM(R14:R113)</f>
        <v>94</v>
      </c>
      <c r="S114" s="20">
        <f>SUM(S14:S113)-S53</f>
        <v>80</v>
      </c>
      <c r="T114" s="20">
        <f>SUM(T14:T113)</f>
        <v>67</v>
      </c>
      <c r="U114" s="20">
        <f>SUM(U14:U113)</f>
        <v>59</v>
      </c>
      <c r="V114" s="20">
        <f>SUM(V14:V113)</f>
        <v>52</v>
      </c>
      <c r="W114" s="20">
        <f>SUM(W14:W113)-W75</f>
        <v>43</v>
      </c>
      <c r="X114" s="20">
        <f>SUM(X14:X113)</f>
        <v>32</v>
      </c>
      <c r="Y114" s="20">
        <f>SUM(Y14:Y113)</f>
        <v>24</v>
      </c>
      <c r="Z114" s="20">
        <f>SUM(Z14:Z113)-Z88</f>
        <v>13</v>
      </c>
      <c r="AA114" s="20">
        <f>SUM(AA14:AA113)</f>
        <v>0</v>
      </c>
    </row>
    <row r="115" spans="1:27" x14ac:dyDescent="0.3">
      <c r="A115" s="67"/>
      <c r="B115" s="78"/>
      <c r="C115" s="79"/>
      <c r="D115" s="80"/>
      <c r="E115" s="68" t="s">
        <v>48</v>
      </c>
      <c r="F115" s="69"/>
      <c r="G115" s="40">
        <f>SUM(H14:H113)</f>
        <v>183</v>
      </c>
      <c r="H115" s="41"/>
      <c r="I115" s="20">
        <f>SUM(I14:I113)</f>
        <v>183</v>
      </c>
      <c r="J115" s="20">
        <f>SUM(J14:J113)+K16+K18</f>
        <v>173</v>
      </c>
      <c r="K115" s="20">
        <f>SUM(K14:K113)-K16-K18+L22</f>
        <v>163</v>
      </c>
      <c r="L115" s="20">
        <f>SUM(L14:L113)-L22</f>
        <v>149</v>
      </c>
      <c r="M115" s="20">
        <f>SUM(M14:M113)-M26+N30</f>
        <v>141</v>
      </c>
      <c r="N115" s="20">
        <f>SUM(N14:N113)-N30-N32</f>
        <v>133</v>
      </c>
      <c r="O115" s="20">
        <f>SUM(O14:O113)-O34-O36+P43</f>
        <v>124</v>
      </c>
      <c r="P115" s="20">
        <f>SUM(P14:P113)-P41-P43+Q47</f>
        <v>114</v>
      </c>
      <c r="Q115" s="20">
        <f>SUM(Q14:Q113)-Q47+R51+R53</f>
        <v>105</v>
      </c>
      <c r="R115" s="20">
        <f>SUM(R14:R113)-R49-R51-R53</f>
        <v>91</v>
      </c>
      <c r="S115" s="20">
        <f>SUM(S14:S113)-S58</f>
        <v>79</v>
      </c>
      <c r="T115" s="20">
        <f>SUM(T14:T113)-T61+U67</f>
        <v>67</v>
      </c>
      <c r="U115" s="20">
        <f>SUM(U14:U113)-U65-U67</f>
        <v>57</v>
      </c>
      <c r="V115" s="20">
        <f>SUM(V14:V113)-V73+W75</f>
        <v>53</v>
      </c>
      <c r="W115" s="20">
        <f>SUM(W14:W113)-W75</f>
        <v>43</v>
      </c>
      <c r="X115" s="20">
        <f>SUM(X14:X113)-X78-X83+Y88+Y95+Y99</f>
        <v>33</v>
      </c>
      <c r="Y115" s="20">
        <f>SUM(Y14:Y113)-Y88-Y93-Y95-Y99+Z111</f>
        <v>21</v>
      </c>
      <c r="Z115" s="20">
        <f>SUM(Z14:Z113)-Z102-Z106-Z111</f>
        <v>10</v>
      </c>
      <c r="AA115" s="20">
        <f>SUM(AA14:AA113)</f>
        <v>0</v>
      </c>
    </row>
  </sheetData>
  <mergeCells count="218">
    <mergeCell ref="C111:D111"/>
    <mergeCell ref="E111:F111"/>
    <mergeCell ref="C99:D99"/>
    <mergeCell ref="E99:F99"/>
    <mergeCell ref="C58:D58"/>
    <mergeCell ref="E58:F58"/>
    <mergeCell ref="C67:D67"/>
    <mergeCell ref="E67:F67"/>
    <mergeCell ref="C78:D78"/>
    <mergeCell ref="E78:F78"/>
    <mergeCell ref="C83:D83"/>
    <mergeCell ref="E83:F83"/>
    <mergeCell ref="C95:D95"/>
    <mergeCell ref="E95:F95"/>
    <mergeCell ref="E108:F108"/>
    <mergeCell ref="C103:D103"/>
    <mergeCell ref="C97:D97"/>
    <mergeCell ref="C98:D98"/>
    <mergeCell ref="E97:F97"/>
    <mergeCell ref="E98:F98"/>
    <mergeCell ref="C82:D82"/>
    <mergeCell ref="C84:D84"/>
    <mergeCell ref="E84:F84"/>
    <mergeCell ref="E82:F82"/>
    <mergeCell ref="E43:F43"/>
    <mergeCell ref="C49:D49"/>
    <mergeCell ref="E49:F49"/>
    <mergeCell ref="C42:D42"/>
    <mergeCell ref="E42:F42"/>
    <mergeCell ref="C45:D45"/>
    <mergeCell ref="C44:D44"/>
    <mergeCell ref="E44:F44"/>
    <mergeCell ref="E45:F45"/>
    <mergeCell ref="B18:D18"/>
    <mergeCell ref="E18:F18"/>
    <mergeCell ref="C22:D22"/>
    <mergeCell ref="E22:F22"/>
    <mergeCell ref="C26:D26"/>
    <mergeCell ref="E26:F26"/>
    <mergeCell ref="C30:D30"/>
    <mergeCell ref="E30:F30"/>
    <mergeCell ref="C24:D24"/>
    <mergeCell ref="C27:D27"/>
    <mergeCell ref="C28:D28"/>
    <mergeCell ref="E27:F27"/>
    <mergeCell ref="E28:F28"/>
    <mergeCell ref="C29:D29"/>
    <mergeCell ref="E29:F29"/>
    <mergeCell ref="B114:D115"/>
    <mergeCell ref="E40:F40"/>
    <mergeCell ref="B33:B47"/>
    <mergeCell ref="C47:D47"/>
    <mergeCell ref="E47:F47"/>
    <mergeCell ref="C53:D53"/>
    <mergeCell ref="E53:F53"/>
    <mergeCell ref="C61:D61"/>
    <mergeCell ref="E61:F61"/>
    <mergeCell ref="B48:B75"/>
    <mergeCell ref="C75:D75"/>
    <mergeCell ref="E75:F75"/>
    <mergeCell ref="E115:F115"/>
    <mergeCell ref="E104:F104"/>
    <mergeCell ref="E105:F105"/>
    <mergeCell ref="E79:F79"/>
    <mergeCell ref="E88:F88"/>
    <mergeCell ref="B112:B113"/>
    <mergeCell ref="C37:D37"/>
    <mergeCell ref="C38:D38"/>
    <mergeCell ref="C39:D39"/>
    <mergeCell ref="C46:D46"/>
    <mergeCell ref="C40:D40"/>
    <mergeCell ref="C112:D112"/>
    <mergeCell ref="A1:B1"/>
    <mergeCell ref="A2:B2"/>
    <mergeCell ref="B4:E4"/>
    <mergeCell ref="B11:C11"/>
    <mergeCell ref="E17:F17"/>
    <mergeCell ref="E19:F19"/>
    <mergeCell ref="B17:D17"/>
    <mergeCell ref="B16:D16"/>
    <mergeCell ref="E16:F16"/>
    <mergeCell ref="B19:B32"/>
    <mergeCell ref="C32:D32"/>
    <mergeCell ref="C25:D25"/>
    <mergeCell ref="C19:D19"/>
    <mergeCell ref="C20:D20"/>
    <mergeCell ref="C21:D21"/>
    <mergeCell ref="C23:D23"/>
    <mergeCell ref="E20:F20"/>
    <mergeCell ref="E21:F21"/>
    <mergeCell ref="E23:F23"/>
    <mergeCell ref="E24:F24"/>
    <mergeCell ref="E25:F25"/>
    <mergeCell ref="C31:D31"/>
    <mergeCell ref="E13:F13"/>
    <mergeCell ref="C13:D13"/>
    <mergeCell ref="G115:H115"/>
    <mergeCell ref="B87:B99"/>
    <mergeCell ref="C88:D88"/>
    <mergeCell ref="B100:B111"/>
    <mergeCell ref="C102:D102"/>
    <mergeCell ref="C48:D48"/>
    <mergeCell ref="C50:D50"/>
    <mergeCell ref="C52:D52"/>
    <mergeCell ref="C54:D54"/>
    <mergeCell ref="C55:D55"/>
    <mergeCell ref="C56:D56"/>
    <mergeCell ref="C59:D59"/>
    <mergeCell ref="C60:D60"/>
    <mergeCell ref="C62:D62"/>
    <mergeCell ref="B76:B86"/>
    <mergeCell ref="C76:D76"/>
    <mergeCell ref="C77:D77"/>
    <mergeCell ref="C57:D57"/>
    <mergeCell ref="E112:F112"/>
    <mergeCell ref="C113:D113"/>
    <mergeCell ref="G114:H114"/>
    <mergeCell ref="E59:F59"/>
    <mergeCell ref="C51:D51"/>
    <mergeCell ref="E51:F51"/>
    <mergeCell ref="E74:F74"/>
    <mergeCell ref="E76:F76"/>
    <mergeCell ref="E77:F77"/>
    <mergeCell ref="E70:F70"/>
    <mergeCell ref="C74:D74"/>
    <mergeCell ref="C105:D105"/>
    <mergeCell ref="C104:D104"/>
    <mergeCell ref="C92:D92"/>
    <mergeCell ref="C91:D91"/>
    <mergeCell ref="C90:D90"/>
    <mergeCell ref="C89:D89"/>
    <mergeCell ref="C87:D87"/>
    <mergeCell ref="C80:D80"/>
    <mergeCell ref="C79:D79"/>
    <mergeCell ref="C100:D100"/>
    <mergeCell ref="C101:D101"/>
    <mergeCell ref="E103:F103"/>
    <mergeCell ref="E80:F80"/>
    <mergeCell ref="E92:F92"/>
    <mergeCell ref="E100:F100"/>
    <mergeCell ref="E101:F101"/>
    <mergeCell ref="E102:F102"/>
    <mergeCell ref="E91:F91"/>
    <mergeCell ref="E87:F87"/>
    <mergeCell ref="C86:D86"/>
    <mergeCell ref="E86:F86"/>
    <mergeCell ref="B15:D15"/>
    <mergeCell ref="B14:D14"/>
    <mergeCell ref="A14:A115"/>
    <mergeCell ref="E15:F15"/>
    <mergeCell ref="E14:F14"/>
    <mergeCell ref="E113:F113"/>
    <mergeCell ref="E114:F114"/>
    <mergeCell ref="E89:F89"/>
    <mergeCell ref="E90:F90"/>
    <mergeCell ref="E48:F48"/>
    <mergeCell ref="C63:D63"/>
    <mergeCell ref="C64:D64"/>
    <mergeCell ref="C66:D66"/>
    <mergeCell ref="C68:D68"/>
    <mergeCell ref="C69:D69"/>
    <mergeCell ref="E69:F69"/>
    <mergeCell ref="C70:D70"/>
    <mergeCell ref="E46:F46"/>
    <mergeCell ref="E54:F54"/>
    <mergeCell ref="E62:F62"/>
    <mergeCell ref="E55:F55"/>
    <mergeCell ref="E56:F56"/>
    <mergeCell ref="E57:F57"/>
    <mergeCell ref="E60:F60"/>
    <mergeCell ref="C35:D35"/>
    <mergeCell ref="E68:F68"/>
    <mergeCell ref="E65:F65"/>
    <mergeCell ref="C34:D34"/>
    <mergeCell ref="E31:F31"/>
    <mergeCell ref="E32:F32"/>
    <mergeCell ref="C33:D33"/>
    <mergeCell ref="E33:F33"/>
    <mergeCell ref="E35:F35"/>
    <mergeCell ref="C65:D65"/>
    <mergeCell ref="E63:F63"/>
    <mergeCell ref="E64:F64"/>
    <mergeCell ref="E66:F66"/>
    <mergeCell ref="E37:F37"/>
    <mergeCell ref="E38:F38"/>
    <mergeCell ref="E39:F39"/>
    <mergeCell ref="E34:F34"/>
    <mergeCell ref="C36:D36"/>
    <mergeCell ref="E50:F50"/>
    <mergeCell ref="E52:F52"/>
    <mergeCell ref="E36:F36"/>
    <mergeCell ref="C41:D41"/>
    <mergeCell ref="E41:F41"/>
    <mergeCell ref="C43:D43"/>
    <mergeCell ref="C109:D109"/>
    <mergeCell ref="C110:D110"/>
    <mergeCell ref="E109:F109"/>
    <mergeCell ref="E110:F110"/>
    <mergeCell ref="C71:D71"/>
    <mergeCell ref="E71:F71"/>
    <mergeCell ref="C72:D72"/>
    <mergeCell ref="E72:F72"/>
    <mergeCell ref="C85:D85"/>
    <mergeCell ref="E85:F85"/>
    <mergeCell ref="C96:D96"/>
    <mergeCell ref="C93:D93"/>
    <mergeCell ref="E93:F93"/>
    <mergeCell ref="E94:F94"/>
    <mergeCell ref="E96:F96"/>
    <mergeCell ref="C106:D106"/>
    <mergeCell ref="C107:D107"/>
    <mergeCell ref="C108:D108"/>
    <mergeCell ref="E106:F106"/>
    <mergeCell ref="E107:F107"/>
    <mergeCell ref="C73:D73"/>
    <mergeCell ref="C81:D81"/>
    <mergeCell ref="E81:F81"/>
    <mergeCell ref="C94:D94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>
      <selection activeCell="N14" sqref="N14"/>
    </sheetView>
  </sheetViews>
  <sheetFormatPr defaultRowHeight="14.4" x14ac:dyDescent="0.3"/>
  <cols>
    <col min="2" max="11" width="10" customWidth="1"/>
  </cols>
  <sheetData>
    <row r="1" spans="1:11" ht="16.8" x14ac:dyDescent="0.3">
      <c r="A1" s="83" t="s">
        <v>50</v>
      </c>
      <c r="B1" s="84"/>
      <c r="C1" s="84"/>
      <c r="D1" s="84"/>
      <c r="E1" s="84"/>
      <c r="F1" s="84"/>
      <c r="G1" s="84"/>
      <c r="H1" s="84"/>
      <c r="I1" s="84"/>
      <c r="J1" s="84"/>
      <c r="K1" s="85"/>
    </row>
    <row r="2" spans="1:11" ht="16.8" x14ac:dyDescent="0.3">
      <c r="A2" s="86"/>
      <c r="B2" s="87" t="s">
        <v>124</v>
      </c>
      <c r="C2" s="87"/>
      <c r="D2" s="87" t="s">
        <v>122</v>
      </c>
      <c r="E2" s="87"/>
      <c r="F2" s="87" t="s">
        <v>128</v>
      </c>
      <c r="G2" s="87"/>
      <c r="H2" s="87" t="s">
        <v>123</v>
      </c>
      <c r="I2" s="87"/>
      <c r="J2" s="87" t="s">
        <v>85</v>
      </c>
      <c r="K2" s="88"/>
    </row>
    <row r="3" spans="1:11" ht="16.8" x14ac:dyDescent="0.3">
      <c r="A3" s="86"/>
      <c r="B3" s="25" t="s">
        <v>11</v>
      </c>
      <c r="C3" s="25" t="s">
        <v>48</v>
      </c>
      <c r="D3" s="25" t="s">
        <v>11</v>
      </c>
      <c r="E3" s="25" t="s">
        <v>48</v>
      </c>
      <c r="F3" s="25" t="s">
        <v>11</v>
      </c>
      <c r="G3" s="25" t="s">
        <v>48</v>
      </c>
      <c r="H3" s="25" t="s">
        <v>11</v>
      </c>
      <c r="I3" s="25" t="s">
        <v>48</v>
      </c>
      <c r="J3" s="25" t="s">
        <v>11</v>
      </c>
      <c r="K3" s="26" t="s">
        <v>48</v>
      </c>
    </row>
    <row r="4" spans="1:11" ht="16.8" x14ac:dyDescent="0.3">
      <c r="A4" s="29" t="s">
        <v>4</v>
      </c>
      <c r="B4" s="27">
        <f ca="1">'Sprint 1'!$D$8</f>
        <v>33.799999999999997</v>
      </c>
      <c r="C4" s="27">
        <f ca="1">'Sprint 1'!$E$8</f>
        <v>35</v>
      </c>
      <c r="D4" s="27">
        <f ca="1">'Sprint 1'!$D$9</f>
        <v>19.8</v>
      </c>
      <c r="E4" s="27">
        <f ca="1">'Sprint 1'!$E$9</f>
        <v>21</v>
      </c>
      <c r="F4" s="27">
        <f ca="1">'Sprint 1'!$D$10</f>
        <v>18.3</v>
      </c>
      <c r="G4" s="27">
        <f ca="1">'Sprint 1'!$E$10</f>
        <v>18</v>
      </c>
      <c r="H4" s="27">
        <f ca="1">'Sprint 1'!$D$11</f>
        <v>19.8</v>
      </c>
      <c r="I4" s="27">
        <f ca="1">'Sprint 1'!$E$11</f>
        <v>21</v>
      </c>
      <c r="J4" s="27">
        <f ca="1">'Sprint 1'!$D$12</f>
        <v>24.3</v>
      </c>
      <c r="K4" s="27">
        <f ca="1">'Sprint 1'!$E$12</f>
        <v>22</v>
      </c>
    </row>
    <row r="5" spans="1:11" ht="16.8" x14ac:dyDescent="0.3">
      <c r="A5" s="29" t="s">
        <v>31</v>
      </c>
      <c r="B5" s="27">
        <f ca="1">'Sprint 2'!$D$6</f>
        <v>39.200000000000003</v>
      </c>
      <c r="C5" s="27">
        <f ca="1">'Sprint 2'!$E$6</f>
        <v>40</v>
      </c>
      <c r="D5" s="27">
        <f ca="1">'Sprint 2'!$D$7</f>
        <v>27.7</v>
      </c>
      <c r="E5" s="27">
        <f ca="1">'Sprint 2'!$E$7</f>
        <v>29</v>
      </c>
      <c r="F5" s="27">
        <f ca="1">'Sprint 2'!$D$8</f>
        <v>33.700000000000003</v>
      </c>
      <c r="G5" s="27">
        <f ca="1">'Sprint 2'!$E$8</f>
        <v>31</v>
      </c>
      <c r="H5" s="27">
        <f ca="1">'Sprint 2'!$D$9</f>
        <v>26.7</v>
      </c>
      <c r="I5" s="27">
        <f ca="1">'Sprint 2'!$E$9</f>
        <v>27</v>
      </c>
      <c r="J5" s="27">
        <f ca="1">'Sprint 2'!$D$10</f>
        <v>29.7</v>
      </c>
      <c r="K5" s="27">
        <f ca="1">'Sprint 2'!$E$10</f>
        <v>29</v>
      </c>
    </row>
    <row r="6" spans="1:11" ht="16.8" x14ac:dyDescent="0.3">
      <c r="A6" s="29" t="s">
        <v>32</v>
      </c>
      <c r="B6" s="27">
        <f ca="1">'Sprint 3'!$D$6</f>
        <v>53.6</v>
      </c>
      <c r="C6" s="27">
        <f ca="1">'Sprint 3'!$E$6</f>
        <v>57.2</v>
      </c>
      <c r="D6" s="27">
        <f ca="1">'Sprint 3'!$D$7</f>
        <v>32.1</v>
      </c>
      <c r="E6" s="27">
        <f ca="1">'Sprint 3'!$E$7</f>
        <v>31.7</v>
      </c>
      <c r="F6" s="27">
        <f ca="1">'Sprint 3'!$D$8</f>
        <v>35.6</v>
      </c>
      <c r="G6" s="27">
        <f ca="1">'Sprint 3'!$E$8</f>
        <v>33.200000000000003</v>
      </c>
      <c r="H6" s="27">
        <f ca="1">'Sprint 3'!$D$9</f>
        <v>30.1</v>
      </c>
      <c r="I6" s="27">
        <f ca="1">'Sprint 3'!$E$9</f>
        <v>30.7</v>
      </c>
      <c r="J6" s="27">
        <f ca="1">'Sprint 3'!$D$10</f>
        <v>30.6</v>
      </c>
      <c r="K6" s="27">
        <f ca="1">'Sprint 3'!$E$10</f>
        <v>30.2</v>
      </c>
    </row>
    <row r="7" spans="1:11" ht="17.399999999999999" thickBot="1" x14ac:dyDescent="0.35">
      <c r="A7" s="30" t="s">
        <v>12</v>
      </c>
      <c r="B7" s="28">
        <f ca="1">SUM(B4:B6)</f>
        <v>126.6</v>
      </c>
      <c r="C7" s="28">
        <f t="shared" ref="C7:K7" ca="1" si="0">SUM(C4:C6)</f>
        <v>132.19999999999999</v>
      </c>
      <c r="D7" s="28">
        <f t="shared" ca="1" si="0"/>
        <v>79.599999999999994</v>
      </c>
      <c r="E7" s="28">
        <f t="shared" ca="1" si="0"/>
        <v>81.7</v>
      </c>
      <c r="F7" s="28">
        <f t="shared" ca="1" si="0"/>
        <v>87.6</v>
      </c>
      <c r="G7" s="28">
        <f t="shared" ca="1" si="0"/>
        <v>82.2</v>
      </c>
      <c r="H7" s="28">
        <f t="shared" ca="1" si="0"/>
        <v>76.599999999999994</v>
      </c>
      <c r="I7" s="28">
        <f t="shared" ca="1" si="0"/>
        <v>78.7</v>
      </c>
      <c r="J7" s="28">
        <f t="shared" ca="1" si="0"/>
        <v>84.6</v>
      </c>
      <c r="K7" s="28">
        <f t="shared" ca="1" si="0"/>
        <v>81.2</v>
      </c>
    </row>
    <row r="9" spans="1:11" ht="15" thickBot="1" x14ac:dyDescent="0.35"/>
    <row r="10" spans="1:11" ht="16.8" x14ac:dyDescent="0.3">
      <c r="E10" s="81" t="s">
        <v>51</v>
      </c>
      <c r="F10" s="82"/>
    </row>
    <row r="11" spans="1:11" ht="16.8" x14ac:dyDescent="0.3">
      <c r="E11" s="31" t="s">
        <v>11</v>
      </c>
      <c r="F11" s="32">
        <f ca="1">SUMIF($B$3:$K$3,"Thực tế",$B$7:$K$7)</f>
        <v>455</v>
      </c>
    </row>
    <row r="12" spans="1:11" ht="17.399999999999999" thickBot="1" x14ac:dyDescent="0.35">
      <c r="E12" s="33" t="s">
        <v>48</v>
      </c>
      <c r="F12" s="34">
        <f ca="1">SUMIF($B$3:$K$3,"Ước tính",$B$7:$K$7)</f>
        <v>455.99999999999994</v>
      </c>
    </row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Trường Đăng</cp:lastModifiedBy>
  <dcterms:created xsi:type="dcterms:W3CDTF">2021-04-23T08:05:10Z</dcterms:created>
  <dcterms:modified xsi:type="dcterms:W3CDTF">2026-05-14T07:35:37Z</dcterms:modified>
</cp:coreProperties>
</file>